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0073002358\Downloads\"/>
    </mc:Choice>
  </mc:AlternateContent>
  <xr:revisionPtr revIDLastSave="0" documentId="13_ncr:1_{8DE9C3F3-6AA5-4703-BC9C-5E57FD8336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6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H75uhvsgYyuo2o69bbK2kVHVGK6wpSORN6oG2j3S94="/>
    </ext>
  </extLst>
</workbook>
</file>

<file path=xl/calcChain.xml><?xml version="1.0" encoding="utf-8"?>
<calcChain xmlns="http://schemas.openxmlformats.org/spreadsheetml/2006/main">
  <c r="Q77" i="1" l="1"/>
  <c r="P77" i="1"/>
  <c r="S77" i="1" s="1"/>
  <c r="O77" i="1"/>
  <c r="V77" i="1" s="1"/>
  <c r="N77" i="1"/>
  <c r="U77" i="1" s="1"/>
  <c r="M77" i="1"/>
  <c r="K77" i="1"/>
  <c r="L77" i="1" s="1"/>
  <c r="J77" i="1"/>
  <c r="I77" i="1"/>
  <c r="F77" i="1"/>
  <c r="T77" i="1" s="1"/>
  <c r="E77" i="1"/>
  <c r="D77" i="1"/>
  <c r="V76" i="1"/>
  <c r="U76" i="1"/>
  <c r="T76" i="1"/>
  <c r="S76" i="1"/>
  <c r="R76" i="1"/>
  <c r="Q76" i="1"/>
  <c r="L76" i="1"/>
  <c r="J76" i="1"/>
  <c r="I76" i="1"/>
  <c r="G76" i="1"/>
  <c r="V75" i="1"/>
  <c r="U75" i="1"/>
  <c r="T75" i="1"/>
  <c r="S75" i="1"/>
  <c r="R75" i="1"/>
  <c r="Q75" i="1"/>
  <c r="L75" i="1"/>
  <c r="J75" i="1"/>
  <c r="I75" i="1"/>
  <c r="G75" i="1"/>
  <c r="V74" i="1"/>
  <c r="U74" i="1"/>
  <c r="T74" i="1"/>
  <c r="S74" i="1"/>
  <c r="R74" i="1"/>
  <c r="Q74" i="1"/>
  <c r="L74" i="1"/>
  <c r="J74" i="1"/>
  <c r="I74" i="1"/>
  <c r="G74" i="1"/>
  <c r="V73" i="1"/>
  <c r="U73" i="1"/>
  <c r="T73" i="1"/>
  <c r="S73" i="1"/>
  <c r="R73" i="1"/>
  <c r="Q73" i="1"/>
  <c r="L73" i="1"/>
  <c r="J73" i="1"/>
  <c r="I73" i="1"/>
  <c r="G73" i="1"/>
  <c r="V72" i="1"/>
  <c r="U72" i="1"/>
  <c r="T72" i="1"/>
  <c r="S72" i="1"/>
  <c r="R72" i="1"/>
  <c r="Q72" i="1"/>
  <c r="L72" i="1"/>
  <c r="J72" i="1"/>
  <c r="I72" i="1"/>
  <c r="G72" i="1"/>
  <c r="V71" i="1"/>
  <c r="U71" i="1"/>
  <c r="T71" i="1"/>
  <c r="S71" i="1"/>
  <c r="R71" i="1"/>
  <c r="Q71" i="1"/>
  <c r="L71" i="1"/>
  <c r="J71" i="1"/>
  <c r="I71" i="1"/>
  <c r="G71" i="1"/>
  <c r="V70" i="1"/>
  <c r="U70" i="1"/>
  <c r="T70" i="1"/>
  <c r="S70" i="1"/>
  <c r="R70" i="1"/>
  <c r="Q70" i="1"/>
  <c r="L70" i="1"/>
  <c r="J70" i="1"/>
  <c r="I70" i="1"/>
  <c r="G70" i="1"/>
  <c r="V69" i="1"/>
  <c r="U69" i="1"/>
  <c r="T69" i="1"/>
  <c r="S69" i="1"/>
  <c r="R69" i="1"/>
  <c r="Q69" i="1"/>
  <c r="L69" i="1"/>
  <c r="J69" i="1"/>
  <c r="I69" i="1"/>
  <c r="G69" i="1"/>
  <c r="V68" i="1"/>
  <c r="U68" i="1"/>
  <c r="T68" i="1"/>
  <c r="S68" i="1"/>
  <c r="R68" i="1"/>
  <c r="Q68" i="1"/>
  <c r="L68" i="1"/>
  <c r="J68" i="1"/>
  <c r="I68" i="1"/>
  <c r="G68" i="1"/>
  <c r="V67" i="1"/>
  <c r="U67" i="1"/>
  <c r="T67" i="1"/>
  <c r="S67" i="1"/>
  <c r="R67" i="1"/>
  <c r="Q67" i="1"/>
  <c r="L67" i="1"/>
  <c r="J67" i="1"/>
  <c r="I67" i="1"/>
  <c r="G67" i="1"/>
  <c r="V66" i="1"/>
  <c r="U66" i="1"/>
  <c r="T66" i="1"/>
  <c r="S66" i="1"/>
  <c r="R66" i="1"/>
  <c r="Q66" i="1"/>
  <c r="L66" i="1"/>
  <c r="J66" i="1"/>
  <c r="I66" i="1"/>
  <c r="G66" i="1"/>
  <c r="V65" i="1"/>
  <c r="U65" i="1"/>
  <c r="T65" i="1"/>
  <c r="S65" i="1"/>
  <c r="R65" i="1"/>
  <c r="Q65" i="1"/>
  <c r="L65" i="1"/>
  <c r="J65" i="1"/>
  <c r="I65" i="1"/>
  <c r="G65" i="1"/>
  <c r="V64" i="1"/>
  <c r="U64" i="1"/>
  <c r="T64" i="1"/>
  <c r="S64" i="1"/>
  <c r="R64" i="1"/>
  <c r="Q64" i="1"/>
  <c r="L64" i="1"/>
  <c r="J64" i="1"/>
  <c r="I64" i="1"/>
  <c r="G64" i="1"/>
  <c r="V63" i="1"/>
  <c r="U63" i="1"/>
  <c r="T63" i="1"/>
  <c r="S63" i="1"/>
  <c r="R63" i="1"/>
  <c r="Q63" i="1"/>
  <c r="L63" i="1"/>
  <c r="J63" i="1"/>
  <c r="I63" i="1"/>
  <c r="G63" i="1"/>
  <c r="V62" i="1"/>
  <c r="U62" i="1"/>
  <c r="T62" i="1"/>
  <c r="S62" i="1"/>
  <c r="R62" i="1"/>
  <c r="Q62" i="1"/>
  <c r="L62" i="1"/>
  <c r="J62" i="1"/>
  <c r="I62" i="1"/>
  <c r="G62" i="1"/>
  <c r="V61" i="1"/>
  <c r="U61" i="1"/>
  <c r="T61" i="1"/>
  <c r="S61" i="1"/>
  <c r="R61" i="1"/>
  <c r="Q61" i="1"/>
  <c r="L61" i="1"/>
  <c r="J61" i="1"/>
  <c r="I61" i="1"/>
  <c r="G61" i="1"/>
  <c r="V60" i="1"/>
  <c r="U60" i="1"/>
  <c r="T60" i="1"/>
  <c r="S60" i="1"/>
  <c r="R60" i="1"/>
  <c r="Q60" i="1"/>
  <c r="L60" i="1"/>
  <c r="J60" i="1"/>
  <c r="I60" i="1"/>
  <c r="G60" i="1"/>
  <c r="V59" i="1"/>
  <c r="U59" i="1"/>
  <c r="T59" i="1"/>
  <c r="S59" i="1"/>
  <c r="R59" i="1"/>
  <c r="Q59" i="1"/>
  <c r="L59" i="1"/>
  <c r="J59" i="1"/>
  <c r="I59" i="1"/>
  <c r="G59" i="1"/>
  <c r="V58" i="1"/>
  <c r="U58" i="1"/>
  <c r="T58" i="1"/>
  <c r="S58" i="1"/>
  <c r="R58" i="1"/>
  <c r="Q58" i="1"/>
  <c r="L58" i="1"/>
  <c r="J58" i="1"/>
  <c r="I58" i="1"/>
  <c r="G58" i="1"/>
  <c r="V57" i="1"/>
  <c r="U57" i="1"/>
  <c r="T57" i="1"/>
  <c r="S57" i="1"/>
  <c r="R57" i="1"/>
  <c r="Q57" i="1"/>
  <c r="L57" i="1"/>
  <c r="J57" i="1"/>
  <c r="I57" i="1"/>
  <c r="G57" i="1"/>
  <c r="V56" i="1"/>
  <c r="U56" i="1"/>
  <c r="T56" i="1"/>
  <c r="S56" i="1"/>
  <c r="R56" i="1"/>
  <c r="Q56" i="1"/>
  <c r="L56" i="1"/>
  <c r="J56" i="1"/>
  <c r="I56" i="1"/>
  <c r="G56" i="1"/>
  <c r="V55" i="1"/>
  <c r="U55" i="1"/>
  <c r="T55" i="1"/>
  <c r="S55" i="1"/>
  <c r="R55" i="1"/>
  <c r="Q55" i="1"/>
  <c r="L55" i="1"/>
  <c r="J55" i="1"/>
  <c r="I55" i="1"/>
  <c r="G55" i="1"/>
  <c r="V54" i="1"/>
  <c r="U54" i="1"/>
  <c r="T54" i="1"/>
  <c r="S54" i="1"/>
  <c r="R54" i="1"/>
  <c r="Q54" i="1"/>
  <c r="L54" i="1"/>
  <c r="J54" i="1"/>
  <c r="I54" i="1"/>
  <c r="G54" i="1"/>
  <c r="V53" i="1"/>
  <c r="U53" i="1"/>
  <c r="T53" i="1"/>
  <c r="S53" i="1"/>
  <c r="R53" i="1"/>
  <c r="Q53" i="1"/>
  <c r="L53" i="1"/>
  <c r="J53" i="1"/>
  <c r="I53" i="1"/>
  <c r="G53" i="1"/>
  <c r="V52" i="1"/>
  <c r="U52" i="1"/>
  <c r="T52" i="1"/>
  <c r="S52" i="1"/>
  <c r="R52" i="1"/>
  <c r="Q52" i="1"/>
  <c r="L52" i="1"/>
  <c r="J52" i="1"/>
  <c r="I52" i="1"/>
  <c r="G52" i="1"/>
  <c r="V51" i="1"/>
  <c r="U51" i="1"/>
  <c r="T51" i="1"/>
  <c r="S51" i="1"/>
  <c r="R51" i="1"/>
  <c r="Q51" i="1"/>
  <c r="L51" i="1"/>
  <c r="J51" i="1"/>
  <c r="I51" i="1"/>
  <c r="G51" i="1"/>
  <c r="V50" i="1"/>
  <c r="U50" i="1"/>
  <c r="T50" i="1"/>
  <c r="S50" i="1"/>
  <c r="R50" i="1"/>
  <c r="Q50" i="1"/>
  <c r="L50" i="1"/>
  <c r="J50" i="1"/>
  <c r="I50" i="1"/>
  <c r="G50" i="1"/>
  <c r="V49" i="1"/>
  <c r="U49" i="1"/>
  <c r="T49" i="1"/>
  <c r="S49" i="1"/>
  <c r="R49" i="1"/>
  <c r="Q49" i="1"/>
  <c r="L49" i="1"/>
  <c r="J49" i="1"/>
  <c r="I49" i="1"/>
  <c r="G49" i="1"/>
  <c r="V48" i="1"/>
  <c r="U48" i="1"/>
  <c r="T48" i="1"/>
  <c r="S48" i="1"/>
  <c r="R48" i="1"/>
  <c r="Q48" i="1"/>
  <c r="L48" i="1"/>
  <c r="J48" i="1"/>
  <c r="I48" i="1"/>
  <c r="G48" i="1"/>
  <c r="V47" i="1"/>
  <c r="U47" i="1"/>
  <c r="T47" i="1"/>
  <c r="S47" i="1"/>
  <c r="R47" i="1"/>
  <c r="Q47" i="1"/>
  <c r="L47" i="1"/>
  <c r="J47" i="1"/>
  <c r="I47" i="1"/>
  <c r="G47" i="1"/>
  <c r="V46" i="1"/>
  <c r="U46" i="1"/>
  <c r="T46" i="1"/>
  <c r="S46" i="1"/>
  <c r="R46" i="1"/>
  <c r="Q46" i="1"/>
  <c r="L46" i="1"/>
  <c r="J46" i="1"/>
  <c r="I46" i="1"/>
  <c r="G46" i="1"/>
  <c r="Q45" i="1"/>
  <c r="P45" i="1"/>
  <c r="S45" i="1" s="1"/>
  <c r="O45" i="1"/>
  <c r="N45" i="1"/>
  <c r="U45" i="1" s="1"/>
  <c r="M45" i="1"/>
  <c r="K45" i="1"/>
  <c r="L45" i="1" s="1"/>
  <c r="J45" i="1"/>
  <c r="F45" i="1"/>
  <c r="E45" i="1"/>
  <c r="I45" i="1" s="1"/>
  <c r="D45" i="1"/>
  <c r="V39" i="1"/>
  <c r="U39" i="1"/>
  <c r="T39" i="1"/>
  <c r="S39" i="1"/>
  <c r="R39" i="1"/>
  <c r="Q39" i="1"/>
  <c r="P39" i="1"/>
  <c r="O39" i="1"/>
  <c r="N39" i="1"/>
  <c r="M39" i="1"/>
  <c r="K39" i="1"/>
  <c r="L39" i="1" s="1"/>
  <c r="J39" i="1"/>
  <c r="F39" i="1"/>
  <c r="E39" i="1"/>
  <c r="G39" i="1" s="1"/>
  <c r="D39" i="1"/>
  <c r="V38" i="1"/>
  <c r="U38" i="1"/>
  <c r="T38" i="1"/>
  <c r="S38" i="1"/>
  <c r="R38" i="1"/>
  <c r="Q38" i="1"/>
  <c r="L38" i="1"/>
  <c r="J38" i="1"/>
  <c r="I38" i="1"/>
  <c r="G38" i="1"/>
  <c r="V37" i="1"/>
  <c r="U37" i="1"/>
  <c r="T37" i="1"/>
  <c r="S37" i="1"/>
  <c r="R37" i="1"/>
  <c r="Q37" i="1"/>
  <c r="L37" i="1"/>
  <c r="J37" i="1"/>
  <c r="I37" i="1"/>
  <c r="G37" i="1"/>
  <c r="V36" i="1"/>
  <c r="U36" i="1"/>
  <c r="T36" i="1"/>
  <c r="S36" i="1"/>
  <c r="R36" i="1"/>
  <c r="Q36" i="1"/>
  <c r="L36" i="1"/>
  <c r="J36" i="1"/>
  <c r="I36" i="1"/>
  <c r="G36" i="1"/>
  <c r="V35" i="1"/>
  <c r="U35" i="1"/>
  <c r="T35" i="1"/>
  <c r="S35" i="1"/>
  <c r="R35" i="1"/>
  <c r="Q35" i="1"/>
  <c r="L35" i="1"/>
  <c r="J35" i="1"/>
  <c r="I35" i="1"/>
  <c r="G35" i="1"/>
  <c r="V34" i="1"/>
  <c r="U34" i="1"/>
  <c r="T34" i="1"/>
  <c r="S34" i="1"/>
  <c r="R34" i="1"/>
  <c r="Q34" i="1"/>
  <c r="L34" i="1"/>
  <c r="J34" i="1"/>
  <c r="I34" i="1"/>
  <c r="G34" i="1"/>
  <c r="V33" i="1"/>
  <c r="U33" i="1"/>
  <c r="T33" i="1"/>
  <c r="S33" i="1"/>
  <c r="R33" i="1"/>
  <c r="Q33" i="1"/>
  <c r="L33" i="1"/>
  <c r="J33" i="1"/>
  <c r="I33" i="1"/>
  <c r="G33" i="1"/>
  <c r="V32" i="1"/>
  <c r="U32" i="1"/>
  <c r="T32" i="1"/>
  <c r="S32" i="1"/>
  <c r="R32" i="1"/>
  <c r="Q32" i="1"/>
  <c r="L32" i="1"/>
  <c r="J32" i="1"/>
  <c r="I32" i="1"/>
  <c r="G32" i="1"/>
  <c r="V31" i="1"/>
  <c r="U31" i="1"/>
  <c r="T31" i="1"/>
  <c r="S31" i="1"/>
  <c r="R31" i="1"/>
  <c r="Q31" i="1"/>
  <c r="L31" i="1"/>
  <c r="J31" i="1"/>
  <c r="I31" i="1"/>
  <c r="G31" i="1"/>
  <c r="V30" i="1"/>
  <c r="U30" i="1"/>
  <c r="T30" i="1"/>
  <c r="S30" i="1"/>
  <c r="R30" i="1"/>
  <c r="Q30" i="1"/>
  <c r="L30" i="1"/>
  <c r="J30" i="1"/>
  <c r="I30" i="1"/>
  <c r="G30" i="1"/>
  <c r="V29" i="1"/>
  <c r="U29" i="1"/>
  <c r="T29" i="1"/>
  <c r="S29" i="1"/>
  <c r="R29" i="1"/>
  <c r="Q29" i="1"/>
  <c r="L29" i="1"/>
  <c r="J29" i="1"/>
  <c r="I29" i="1"/>
  <c r="G29" i="1"/>
  <c r="V28" i="1"/>
  <c r="U28" i="1"/>
  <c r="T28" i="1"/>
  <c r="S28" i="1"/>
  <c r="R28" i="1"/>
  <c r="Q28" i="1"/>
  <c r="L28" i="1"/>
  <c r="J28" i="1"/>
  <c r="I28" i="1"/>
  <c r="G28" i="1"/>
  <c r="V27" i="1"/>
  <c r="U27" i="1"/>
  <c r="T27" i="1"/>
  <c r="S27" i="1"/>
  <c r="R27" i="1"/>
  <c r="Q27" i="1"/>
  <c r="L27" i="1"/>
  <c r="J27" i="1"/>
  <c r="I27" i="1"/>
  <c r="G27" i="1"/>
  <c r="V26" i="1"/>
  <c r="U26" i="1"/>
  <c r="T26" i="1"/>
  <c r="S26" i="1"/>
  <c r="R26" i="1"/>
  <c r="Q26" i="1"/>
  <c r="L26" i="1"/>
  <c r="J26" i="1"/>
  <c r="I26" i="1"/>
  <c r="G26" i="1"/>
  <c r="V25" i="1"/>
  <c r="U25" i="1"/>
  <c r="T25" i="1"/>
  <c r="S25" i="1"/>
  <c r="R25" i="1"/>
  <c r="Q25" i="1"/>
  <c r="L25" i="1"/>
  <c r="J25" i="1"/>
  <c r="I25" i="1"/>
  <c r="G25" i="1"/>
  <c r="V24" i="1"/>
  <c r="U24" i="1"/>
  <c r="T24" i="1"/>
  <c r="S24" i="1"/>
  <c r="R24" i="1"/>
  <c r="Q24" i="1"/>
  <c r="L24" i="1"/>
  <c r="J24" i="1"/>
  <c r="I24" i="1"/>
  <c r="G24" i="1"/>
  <c r="V23" i="1"/>
  <c r="U23" i="1"/>
  <c r="T23" i="1"/>
  <c r="S23" i="1"/>
  <c r="R23" i="1"/>
  <c r="Q23" i="1"/>
  <c r="L23" i="1"/>
  <c r="J23" i="1"/>
  <c r="I23" i="1"/>
  <c r="G23" i="1"/>
  <c r="V22" i="1"/>
  <c r="U22" i="1"/>
  <c r="T22" i="1"/>
  <c r="S22" i="1"/>
  <c r="R22" i="1"/>
  <c r="Q22" i="1"/>
  <c r="L22" i="1"/>
  <c r="J22" i="1"/>
  <c r="I22" i="1"/>
  <c r="G22" i="1"/>
  <c r="V21" i="1"/>
  <c r="U21" i="1"/>
  <c r="T21" i="1"/>
  <c r="S21" i="1"/>
  <c r="R21" i="1"/>
  <c r="Q21" i="1"/>
  <c r="L21" i="1"/>
  <c r="J21" i="1"/>
  <c r="I21" i="1"/>
  <c r="G21" i="1"/>
  <c r="V20" i="1"/>
  <c r="U20" i="1"/>
  <c r="T20" i="1"/>
  <c r="S20" i="1"/>
  <c r="R20" i="1"/>
  <c r="Q20" i="1"/>
  <c r="L20" i="1"/>
  <c r="J20" i="1"/>
  <c r="I20" i="1"/>
  <c r="G20" i="1"/>
  <c r="V19" i="1"/>
  <c r="U19" i="1"/>
  <c r="T19" i="1"/>
  <c r="S19" i="1"/>
  <c r="R19" i="1"/>
  <c r="Q19" i="1"/>
  <c r="L19" i="1"/>
  <c r="J19" i="1"/>
  <c r="I19" i="1"/>
  <c r="G19" i="1"/>
  <c r="V18" i="1"/>
  <c r="U18" i="1"/>
  <c r="T18" i="1"/>
  <c r="S18" i="1"/>
  <c r="R18" i="1"/>
  <c r="Q18" i="1"/>
  <c r="L18" i="1"/>
  <c r="J18" i="1"/>
  <c r="I18" i="1"/>
  <c r="G18" i="1"/>
  <c r="V17" i="1"/>
  <c r="U17" i="1"/>
  <c r="T17" i="1"/>
  <c r="S17" i="1"/>
  <c r="R17" i="1"/>
  <c r="Q17" i="1"/>
  <c r="L17" i="1"/>
  <c r="J17" i="1"/>
  <c r="I17" i="1"/>
  <c r="G17" i="1"/>
  <c r="V16" i="1"/>
  <c r="U16" i="1"/>
  <c r="T16" i="1"/>
  <c r="S16" i="1"/>
  <c r="R16" i="1"/>
  <c r="Q16" i="1"/>
  <c r="L16" i="1"/>
  <c r="J16" i="1"/>
  <c r="I16" i="1"/>
  <c r="G16" i="1"/>
  <c r="V15" i="1"/>
  <c r="U15" i="1"/>
  <c r="T15" i="1"/>
  <c r="S15" i="1"/>
  <c r="R15" i="1"/>
  <c r="Q15" i="1"/>
  <c r="L15" i="1"/>
  <c r="J15" i="1"/>
  <c r="I15" i="1"/>
  <c r="G15" i="1"/>
  <c r="V14" i="1"/>
  <c r="U14" i="1"/>
  <c r="T14" i="1"/>
  <c r="S14" i="1"/>
  <c r="R14" i="1"/>
  <c r="Q14" i="1"/>
  <c r="L14" i="1"/>
  <c r="J14" i="1"/>
  <c r="I14" i="1"/>
  <c r="G14" i="1"/>
  <c r="V13" i="1"/>
  <c r="U13" i="1"/>
  <c r="T13" i="1"/>
  <c r="S13" i="1"/>
  <c r="R13" i="1"/>
  <c r="Q13" i="1"/>
  <c r="L13" i="1"/>
  <c r="J13" i="1"/>
  <c r="I13" i="1"/>
  <c r="G13" i="1"/>
  <c r="V12" i="1"/>
  <c r="U12" i="1"/>
  <c r="T12" i="1"/>
  <c r="S12" i="1"/>
  <c r="R12" i="1"/>
  <c r="Q12" i="1"/>
  <c r="L12" i="1"/>
  <c r="J12" i="1"/>
  <c r="I12" i="1"/>
  <c r="G12" i="1"/>
  <c r="V11" i="1"/>
  <c r="U11" i="1"/>
  <c r="T11" i="1"/>
  <c r="S11" i="1"/>
  <c r="R11" i="1"/>
  <c r="Q11" i="1"/>
  <c r="L11" i="1"/>
  <c r="J11" i="1"/>
  <c r="I11" i="1"/>
  <c r="G11" i="1"/>
  <c r="V10" i="1"/>
  <c r="U10" i="1"/>
  <c r="T10" i="1"/>
  <c r="S10" i="1"/>
  <c r="R10" i="1"/>
  <c r="Q10" i="1"/>
  <c r="L10" i="1"/>
  <c r="J10" i="1"/>
  <c r="I10" i="1"/>
  <c r="G10" i="1"/>
  <c r="V9" i="1"/>
  <c r="U9" i="1"/>
  <c r="T9" i="1"/>
  <c r="S9" i="1"/>
  <c r="R9" i="1"/>
  <c r="Q9" i="1"/>
  <c r="L9" i="1"/>
  <c r="J9" i="1"/>
  <c r="I9" i="1"/>
  <c r="G9" i="1"/>
  <c r="V8" i="1"/>
  <c r="U8" i="1"/>
  <c r="T8" i="1"/>
  <c r="S8" i="1"/>
  <c r="R8" i="1"/>
  <c r="Q8" i="1"/>
  <c r="L8" i="1"/>
  <c r="J8" i="1"/>
  <c r="I8" i="1"/>
  <c r="G8" i="1"/>
  <c r="S7" i="1"/>
  <c r="R7" i="1"/>
  <c r="Q7" i="1"/>
  <c r="P7" i="1"/>
  <c r="O7" i="1"/>
  <c r="N7" i="1"/>
  <c r="M7" i="1"/>
  <c r="K7" i="1"/>
  <c r="L7" i="1" s="1"/>
  <c r="J7" i="1"/>
  <c r="I7" i="1"/>
  <c r="F7" i="1"/>
  <c r="T7" i="1" s="1"/>
  <c r="E7" i="1"/>
  <c r="D7" i="1"/>
  <c r="D3" i="1"/>
  <c r="G3" i="1" s="1"/>
  <c r="G2" i="1"/>
  <c r="V45" i="1" l="1"/>
  <c r="G45" i="1"/>
  <c r="U7" i="1"/>
  <c r="V7" i="1"/>
  <c r="G7" i="1"/>
  <c r="I39" i="1"/>
  <c r="G77" i="1"/>
  <c r="T45" i="1"/>
  <c r="R45" i="1"/>
  <c r="R77" i="1"/>
</calcChain>
</file>

<file path=xl/sharedStrings.xml><?xml version="1.0" encoding="utf-8"?>
<sst xmlns="http://schemas.openxmlformats.org/spreadsheetml/2006/main" count="86" uniqueCount="29">
  <si>
    <t>集計月</t>
  </si>
  <si>
    <t>稼働日</t>
  </si>
  <si>
    <t xml:space="preserve"> ← 日曜日を休日とした場合の稼働日数</t>
  </si>
  <si>
    <t>集計日</t>
  </si>
  <si>
    <t>Act</t>
  </si>
  <si>
    <t xml:space="preserve"> ← 稼働実績日数を表示　※日曜日を休日と想定し、日曜日はカウント対象外</t>
  </si>
  <si>
    <t>↓ 記入</t>
  </si>
  <si>
    <t>↓ 自動</t>
  </si>
  <si>
    <t>担当者名</t>
  </si>
  <si>
    <t>獲得見込</t>
  </si>
  <si>
    <t>獲得</t>
  </si>
  <si>
    <t>稼働数</t>
  </si>
  <si>
    <t>生産性</t>
  </si>
  <si>
    <t>進捗</t>
  </si>
  <si>
    <t>達成率</t>
  </si>
  <si>
    <t>ペースメーカー</t>
  </si>
  <si>
    <t>着地予想</t>
  </si>
  <si>
    <t>着地差分</t>
  </si>
  <si>
    <t>訪問数</t>
  </si>
  <si>
    <t>対面数</t>
  </si>
  <si>
    <t>商談数</t>
  </si>
  <si>
    <t>成約数</t>
  </si>
  <si>
    <t>対面率</t>
  </si>
  <si>
    <t>商談率</t>
  </si>
  <si>
    <t>成約率</t>
  </si>
  <si>
    <t>訪問/日</t>
  </si>
  <si>
    <t>対面/日</t>
  </si>
  <si>
    <t>商談/日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</si>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</sst>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8" x14ac:knownFonts="1">
    <font>
      <sz val="11"/>
      <color theme="1"/>
      <name val="Calibri"/>
      <scheme val="minor"/>
    </font>
    <font>
      <sz val="9"/>
      <color theme="1"/>
      <name val="游ゴシック"/>
      <family val="3"/>
      <charset val="128"/>
    </font>
    <font>
      <b/>
      <sz val="9"/>
      <color theme="0"/>
      <name val="游ゴシック"/>
      <family val="3"/>
      <charset val="128"/>
    </font>
    <font>
      <sz val="9"/>
      <color theme="0"/>
      <name val="游ゴシック"/>
      <family val="3"/>
      <charset val="128"/>
    </font>
    <font>
      <b/>
      <sz val="9"/>
      <color rgb="FFA5A5A5"/>
      <name val="游ゴシック"/>
      <family val="3"/>
      <charset val="128"/>
    </font>
    <font>
      <sz val="9"/>
      <color rgb="FFA5A5A5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  <fill>
      <patternFill patternType="solid">
        <fgColor rgb="FFD6DCE4"/>
        <bgColor rgb="FFD6DCE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55" fontId="1" fillId="0" borderId="3" xfId="0" applyNumberFormat="1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2" fontId="1" fillId="3" borderId="7" xfId="0" applyNumberFormat="1" applyFont="1" applyFill="1" applyBorder="1" applyAlignment="1">
      <alignment vertical="center"/>
    </xf>
    <xf numFmtId="9" fontId="1" fillId="3" borderId="7" xfId="0" applyNumberFormat="1" applyFont="1" applyFill="1" applyBorder="1" applyAlignment="1">
      <alignment vertical="center"/>
    </xf>
    <xf numFmtId="38" fontId="1" fillId="3" borderId="7" xfId="0" applyNumberFormat="1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176" fontId="1" fillId="0" borderId="10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2" fontId="1" fillId="0" borderId="11" xfId="0" applyNumberFormat="1" applyFont="1" applyBorder="1" applyAlignment="1">
      <alignment vertical="center"/>
    </xf>
    <xf numFmtId="9" fontId="1" fillId="0" borderId="11" xfId="0" applyNumberFormat="1" applyFont="1" applyBorder="1" applyAlignment="1">
      <alignment vertical="center"/>
    </xf>
    <xf numFmtId="38" fontId="1" fillId="0" borderId="11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2" fontId="1" fillId="0" borderId="13" xfId="0" applyNumberFormat="1" applyFont="1" applyBorder="1" applyAlignment="1">
      <alignment vertical="center"/>
    </xf>
    <xf numFmtId="9" fontId="1" fillId="0" borderId="13" xfId="0" applyNumberFormat="1" applyFont="1" applyBorder="1" applyAlignment="1">
      <alignment vertical="center"/>
    </xf>
    <xf numFmtId="38" fontId="1" fillId="0" borderId="13" xfId="0" applyNumberFormat="1" applyFont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176" fontId="1" fillId="0" borderId="15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2" fontId="1" fillId="0" borderId="16" xfId="0" applyNumberFormat="1" applyFont="1" applyBorder="1" applyAlignment="1">
      <alignment vertical="center"/>
    </xf>
    <xf numFmtId="9" fontId="1" fillId="0" borderId="16" xfId="0" applyNumberFormat="1" applyFont="1" applyBorder="1" applyAlignment="1">
      <alignment vertical="center"/>
    </xf>
    <xf numFmtId="38" fontId="1" fillId="0" borderId="16" xfId="0" applyNumberFormat="1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2" fontId="6" fillId="3" borderId="7" xfId="0" applyNumberFormat="1" applyFont="1" applyFill="1" applyBorder="1" applyAlignment="1">
      <alignment vertical="center"/>
    </xf>
    <xf numFmtId="9" fontId="6" fillId="3" borderId="7" xfId="0" applyNumberFormat="1" applyFont="1" applyFill="1" applyBorder="1" applyAlignment="1">
      <alignment vertical="center"/>
    </xf>
    <xf numFmtId="38" fontId="6" fillId="3" borderId="7" xfId="0" applyNumberFormat="1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8"/>
  <sheetViews>
    <sheetView showGridLines="0" tabSelected="1" workbookViewId="0">
      <selection activeCell="F1" sqref="F1"/>
    </sheetView>
  </sheetViews>
  <sheetFormatPr defaultColWidth="14.453125" defaultRowHeight="15" customHeight="1" x14ac:dyDescent="0.35"/>
  <cols>
    <col min="1" max="1" width="8.7265625" customWidth="1"/>
    <col min="2" max="2" width="2.08984375" customWidth="1"/>
    <col min="3" max="3" width="8.7265625" customWidth="1"/>
    <col min="4" max="4" width="9.26953125" customWidth="1"/>
    <col min="5" max="9" width="8.7265625" customWidth="1"/>
    <col min="10" max="10" width="11.81640625" customWidth="1"/>
    <col min="11" max="26" width="8.7265625" customWidth="1"/>
  </cols>
  <sheetData>
    <row r="1" spans="1:2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1"/>
      <c r="B2" s="2" t="s">
        <v>0</v>
      </c>
      <c r="C2" s="3"/>
      <c r="D2" s="4">
        <v>46054</v>
      </c>
      <c r="E2" s="1"/>
      <c r="F2" s="5" t="s">
        <v>1</v>
      </c>
      <c r="G2" s="6">
        <f>NETWORKDAYS.INTL(D2, EOMONTH(D2, 0), 11)</f>
        <v>24</v>
      </c>
      <c r="H2" s="7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1"/>
      <c r="B3" s="8" t="s">
        <v>3</v>
      </c>
      <c r="C3" s="9"/>
      <c r="D3" s="10">
        <f ca="1">TODAY()</f>
        <v>46069</v>
      </c>
      <c r="E3" s="1"/>
      <c r="F3" s="5" t="s">
        <v>4</v>
      </c>
      <c r="G3" s="6">
        <f ca="1">NETWORKDAYS.INTL(DATE(YEAR(D3), MONTH(D3), 1), D3, 11)</f>
        <v>13</v>
      </c>
      <c r="H3" s="7" t="s">
        <v>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1"/>
      <c r="B5" s="1"/>
      <c r="C5" s="11" t="s">
        <v>6</v>
      </c>
      <c r="D5" s="11" t="s">
        <v>6</v>
      </c>
      <c r="E5" s="11" t="s">
        <v>6</v>
      </c>
      <c r="F5" s="11" t="s">
        <v>6</v>
      </c>
      <c r="G5" s="12" t="s">
        <v>7</v>
      </c>
      <c r="H5" s="11"/>
      <c r="I5" s="12" t="s">
        <v>7</v>
      </c>
      <c r="J5" s="12" t="s">
        <v>7</v>
      </c>
      <c r="K5" s="12" t="s">
        <v>7</v>
      </c>
      <c r="L5" s="12" t="s">
        <v>7</v>
      </c>
      <c r="M5" s="11" t="s">
        <v>6</v>
      </c>
      <c r="N5" s="11" t="s">
        <v>6</v>
      </c>
      <c r="O5" s="11" t="s">
        <v>6</v>
      </c>
      <c r="P5" s="11" t="s">
        <v>6</v>
      </c>
      <c r="Q5" s="12" t="s">
        <v>7</v>
      </c>
      <c r="R5" s="12" t="s">
        <v>7</v>
      </c>
      <c r="S5" s="12" t="s">
        <v>7</v>
      </c>
      <c r="T5" s="12" t="s">
        <v>7</v>
      </c>
      <c r="U5" s="12" t="s">
        <v>7</v>
      </c>
      <c r="V5" s="12" t="s">
        <v>7</v>
      </c>
      <c r="W5" s="1"/>
      <c r="X5" s="1"/>
      <c r="Y5" s="1"/>
      <c r="Z5" s="1"/>
    </row>
    <row r="6" spans="1:26" ht="25.5" customHeight="1" x14ac:dyDescent="0.35">
      <c r="A6" s="1"/>
      <c r="B6" s="2" t="s">
        <v>8</v>
      </c>
      <c r="C6" s="13"/>
      <c r="D6" s="14" t="s">
        <v>9</v>
      </c>
      <c r="E6" s="15" t="s">
        <v>10</v>
      </c>
      <c r="F6" s="15" t="s">
        <v>11</v>
      </c>
      <c r="G6" s="15" t="s">
        <v>12</v>
      </c>
      <c r="H6" s="15" t="s">
        <v>13</v>
      </c>
      <c r="I6" s="15" t="s">
        <v>14</v>
      </c>
      <c r="J6" s="15" t="s">
        <v>15</v>
      </c>
      <c r="K6" s="15" t="s">
        <v>16</v>
      </c>
      <c r="L6" s="15" t="s">
        <v>17</v>
      </c>
      <c r="M6" s="15" t="s">
        <v>18</v>
      </c>
      <c r="N6" s="15" t="s">
        <v>19</v>
      </c>
      <c r="O6" s="15" t="s">
        <v>20</v>
      </c>
      <c r="P6" s="15" t="s">
        <v>21</v>
      </c>
      <c r="Q6" s="15" t="s">
        <v>22</v>
      </c>
      <c r="R6" s="15" t="s">
        <v>23</v>
      </c>
      <c r="S6" s="15" t="s">
        <v>24</v>
      </c>
      <c r="T6" s="15" t="s">
        <v>25</v>
      </c>
      <c r="U6" s="15" t="s">
        <v>26</v>
      </c>
      <c r="V6" s="15" t="s">
        <v>27</v>
      </c>
      <c r="W6" s="1"/>
      <c r="X6" s="1"/>
      <c r="Y6" s="1"/>
      <c r="Z6" s="1"/>
    </row>
    <row r="7" spans="1:26" x14ac:dyDescent="0.35">
      <c r="A7" s="1"/>
      <c r="B7" s="16"/>
      <c r="C7" s="17"/>
      <c r="D7" s="17">
        <f t="shared" ref="D7:F7" si="0">SUM(D8:D38)</f>
        <v>0</v>
      </c>
      <c r="E7" s="18">
        <f t="shared" si="0"/>
        <v>0</v>
      </c>
      <c r="F7" s="18">
        <f t="shared" si="0"/>
        <v>0</v>
      </c>
      <c r="G7" s="19">
        <f t="shared" ref="G7:G39" si="1">IFERROR(E7/F7,0)</f>
        <v>0</v>
      </c>
      <c r="H7" s="18"/>
      <c r="I7" s="20">
        <f t="shared" ref="I7:I39" si="2">IFERROR(E7/D7,0)</f>
        <v>0</v>
      </c>
      <c r="J7" s="20">
        <f t="shared" ref="J7:J39" si="3">IFERROR(K7/D7,0)</f>
        <v>0</v>
      </c>
      <c r="K7" s="18">
        <f>SUM(K8:K11)</f>
        <v>0</v>
      </c>
      <c r="L7" s="21">
        <f t="shared" ref="L7:L39" si="4">K7-D7</f>
        <v>0</v>
      </c>
      <c r="M7" s="18">
        <f t="shared" ref="M7:P7" si="5">SUM(M8:M38)</f>
        <v>837</v>
      </c>
      <c r="N7" s="18">
        <f t="shared" si="5"/>
        <v>205</v>
      </c>
      <c r="O7" s="18">
        <f t="shared" si="5"/>
        <v>138</v>
      </c>
      <c r="P7" s="18">
        <f t="shared" si="5"/>
        <v>15</v>
      </c>
      <c r="Q7" s="20">
        <f t="shared" ref="Q7:S7" si="6">IFERROR(N7/M7,0)</f>
        <v>0.24492234169653523</v>
      </c>
      <c r="R7" s="20">
        <f t="shared" si="6"/>
        <v>0.67317073170731712</v>
      </c>
      <c r="S7" s="20">
        <f t="shared" si="6"/>
        <v>0.10869565217391304</v>
      </c>
      <c r="T7" s="18">
        <f t="shared" ref="T7:T39" si="7">IFERROR(M7/F7,0)</f>
        <v>0</v>
      </c>
      <c r="U7" s="18">
        <f t="shared" ref="U7:U39" si="8">IFERROR(N7/F7,0)</f>
        <v>0</v>
      </c>
      <c r="V7" s="18">
        <f t="shared" ref="V7:V39" si="9">IFERROR(O7/F7,0)</f>
        <v>0</v>
      </c>
      <c r="W7" s="1"/>
      <c r="X7" s="1"/>
      <c r="Y7" s="1"/>
      <c r="Z7" s="1"/>
    </row>
    <row r="8" spans="1:26" x14ac:dyDescent="0.35">
      <c r="A8" s="1"/>
      <c r="B8" s="22"/>
      <c r="C8" s="23">
        <v>46054</v>
      </c>
      <c r="D8" s="24"/>
      <c r="E8" s="25"/>
      <c r="F8" s="25"/>
      <c r="G8" s="26">
        <f t="shared" si="1"/>
        <v>0</v>
      </c>
      <c r="H8" s="25"/>
      <c r="I8" s="27">
        <f t="shared" si="2"/>
        <v>0</v>
      </c>
      <c r="J8" s="27">
        <f t="shared" si="3"/>
        <v>0</v>
      </c>
      <c r="K8" s="25"/>
      <c r="L8" s="28">
        <f t="shared" si="4"/>
        <v>0</v>
      </c>
      <c r="M8" s="25"/>
      <c r="N8" s="25"/>
      <c r="O8" s="25"/>
      <c r="P8" s="25"/>
      <c r="Q8" s="27">
        <f t="shared" ref="Q8:S8" si="10">IFERROR(N8/M8,0)</f>
        <v>0</v>
      </c>
      <c r="R8" s="27">
        <f t="shared" si="10"/>
        <v>0</v>
      </c>
      <c r="S8" s="27">
        <f t="shared" si="10"/>
        <v>0</v>
      </c>
      <c r="T8" s="25">
        <f t="shared" si="7"/>
        <v>0</v>
      </c>
      <c r="U8" s="25">
        <f t="shared" si="8"/>
        <v>0</v>
      </c>
      <c r="V8" s="25">
        <f t="shared" si="9"/>
        <v>0</v>
      </c>
      <c r="W8" s="1"/>
      <c r="X8" s="1"/>
      <c r="Y8" s="1"/>
      <c r="Z8" s="1"/>
    </row>
    <row r="9" spans="1:26" x14ac:dyDescent="0.35">
      <c r="A9" s="1"/>
      <c r="B9" s="22"/>
      <c r="C9" s="29">
        <v>46055</v>
      </c>
      <c r="D9" s="30"/>
      <c r="E9" s="31"/>
      <c r="F9" s="31"/>
      <c r="G9" s="32">
        <f t="shared" si="1"/>
        <v>0</v>
      </c>
      <c r="H9" s="31"/>
      <c r="I9" s="33">
        <f t="shared" si="2"/>
        <v>0</v>
      </c>
      <c r="J9" s="33">
        <f t="shared" si="3"/>
        <v>0</v>
      </c>
      <c r="K9" s="31"/>
      <c r="L9" s="34">
        <f t="shared" si="4"/>
        <v>0</v>
      </c>
      <c r="M9" s="31"/>
      <c r="N9" s="31"/>
      <c r="O9" s="31"/>
      <c r="P9" s="31"/>
      <c r="Q9" s="33">
        <f t="shared" ref="Q9:S9" si="11">IFERROR(N9/M9,0)</f>
        <v>0</v>
      </c>
      <c r="R9" s="33">
        <f t="shared" si="11"/>
        <v>0</v>
      </c>
      <c r="S9" s="33">
        <f t="shared" si="11"/>
        <v>0</v>
      </c>
      <c r="T9" s="31">
        <f t="shared" si="7"/>
        <v>0</v>
      </c>
      <c r="U9" s="31">
        <f t="shared" si="8"/>
        <v>0</v>
      </c>
      <c r="V9" s="31">
        <f t="shared" si="9"/>
        <v>0</v>
      </c>
      <c r="W9" s="1"/>
      <c r="X9" s="1"/>
      <c r="Y9" s="1"/>
      <c r="Z9" s="1"/>
    </row>
    <row r="10" spans="1:26" x14ac:dyDescent="0.35">
      <c r="A10" s="1"/>
      <c r="B10" s="22"/>
      <c r="C10" s="29">
        <v>46056</v>
      </c>
      <c r="D10" s="30"/>
      <c r="E10" s="31"/>
      <c r="F10" s="31"/>
      <c r="G10" s="32">
        <f t="shared" si="1"/>
        <v>0</v>
      </c>
      <c r="H10" s="31"/>
      <c r="I10" s="33">
        <f t="shared" si="2"/>
        <v>0</v>
      </c>
      <c r="J10" s="33">
        <f t="shared" si="3"/>
        <v>0</v>
      </c>
      <c r="K10" s="31"/>
      <c r="L10" s="34">
        <f t="shared" si="4"/>
        <v>0</v>
      </c>
      <c r="M10" s="31">
        <v>67</v>
      </c>
      <c r="N10" s="31">
        <v>15</v>
      </c>
      <c r="O10" s="31">
        <v>8</v>
      </c>
      <c r="P10" s="31">
        <v>1</v>
      </c>
      <c r="Q10" s="33">
        <f t="shared" ref="Q10:S10" si="12">IFERROR(N10/M10,0)</f>
        <v>0.22388059701492538</v>
      </c>
      <c r="R10" s="33">
        <f t="shared" si="12"/>
        <v>0.53333333333333333</v>
      </c>
      <c r="S10" s="33">
        <f t="shared" si="12"/>
        <v>0.125</v>
      </c>
      <c r="T10" s="31">
        <f t="shared" si="7"/>
        <v>0</v>
      </c>
      <c r="U10" s="31">
        <f t="shared" si="8"/>
        <v>0</v>
      </c>
      <c r="V10" s="31">
        <f t="shared" si="9"/>
        <v>0</v>
      </c>
      <c r="W10" s="1"/>
      <c r="X10" s="1"/>
      <c r="Y10" s="1"/>
      <c r="Z10" s="1"/>
    </row>
    <row r="11" spans="1:26" x14ac:dyDescent="0.35">
      <c r="A11" s="1"/>
      <c r="B11" s="22"/>
      <c r="C11" s="29">
        <v>46057</v>
      </c>
      <c r="D11" s="30"/>
      <c r="E11" s="31"/>
      <c r="F11" s="31"/>
      <c r="G11" s="32">
        <f t="shared" si="1"/>
        <v>0</v>
      </c>
      <c r="H11" s="31"/>
      <c r="I11" s="33">
        <f t="shared" si="2"/>
        <v>0</v>
      </c>
      <c r="J11" s="33">
        <f t="shared" si="3"/>
        <v>0</v>
      </c>
      <c r="K11" s="31"/>
      <c r="L11" s="34">
        <f t="shared" si="4"/>
        <v>0</v>
      </c>
      <c r="M11" s="31">
        <v>93</v>
      </c>
      <c r="N11" s="31">
        <v>16</v>
      </c>
      <c r="O11" s="31">
        <v>7</v>
      </c>
      <c r="P11" s="31">
        <v>1</v>
      </c>
      <c r="Q11" s="33">
        <f t="shared" ref="Q11:S11" si="13">IFERROR(N11/M11,0)</f>
        <v>0.17204301075268819</v>
      </c>
      <c r="R11" s="33">
        <f t="shared" si="13"/>
        <v>0.4375</v>
      </c>
      <c r="S11" s="33">
        <f t="shared" si="13"/>
        <v>0.14285714285714285</v>
      </c>
      <c r="T11" s="31">
        <f t="shared" si="7"/>
        <v>0</v>
      </c>
      <c r="U11" s="31">
        <f t="shared" si="8"/>
        <v>0</v>
      </c>
      <c r="V11" s="31">
        <f t="shared" si="9"/>
        <v>0</v>
      </c>
      <c r="W11" s="1"/>
      <c r="X11" s="1"/>
      <c r="Y11" s="1"/>
      <c r="Z11" s="1"/>
    </row>
    <row r="12" spans="1:26" x14ac:dyDescent="0.35">
      <c r="A12" s="1"/>
      <c r="B12" s="22"/>
      <c r="C12" s="29">
        <v>46058</v>
      </c>
      <c r="D12" s="30"/>
      <c r="E12" s="31"/>
      <c r="F12" s="31"/>
      <c r="G12" s="32">
        <f t="shared" si="1"/>
        <v>0</v>
      </c>
      <c r="H12" s="31"/>
      <c r="I12" s="33">
        <f t="shared" si="2"/>
        <v>0</v>
      </c>
      <c r="J12" s="33">
        <f t="shared" si="3"/>
        <v>0</v>
      </c>
      <c r="K12" s="31"/>
      <c r="L12" s="34">
        <f t="shared" si="4"/>
        <v>0</v>
      </c>
      <c r="M12" s="31">
        <v>55</v>
      </c>
      <c r="N12" s="31">
        <v>12</v>
      </c>
      <c r="O12" s="31">
        <v>10</v>
      </c>
      <c r="P12" s="31">
        <v>2</v>
      </c>
      <c r="Q12" s="33">
        <f t="shared" ref="Q12:S12" si="14">IFERROR(N12/M12,0)</f>
        <v>0.21818181818181817</v>
      </c>
      <c r="R12" s="33">
        <f t="shared" si="14"/>
        <v>0.83333333333333337</v>
      </c>
      <c r="S12" s="33">
        <f t="shared" si="14"/>
        <v>0.2</v>
      </c>
      <c r="T12" s="31">
        <f t="shared" si="7"/>
        <v>0</v>
      </c>
      <c r="U12" s="31">
        <f t="shared" si="8"/>
        <v>0</v>
      </c>
      <c r="V12" s="31">
        <f t="shared" si="9"/>
        <v>0</v>
      </c>
      <c r="W12" s="1"/>
      <c r="X12" s="1"/>
      <c r="Y12" s="1"/>
      <c r="Z12" s="1"/>
    </row>
    <row r="13" spans="1:26" x14ac:dyDescent="0.35">
      <c r="A13" s="1"/>
      <c r="B13" s="22"/>
      <c r="C13" s="29">
        <v>46059</v>
      </c>
      <c r="D13" s="30"/>
      <c r="E13" s="31"/>
      <c r="F13" s="31"/>
      <c r="G13" s="32">
        <f t="shared" si="1"/>
        <v>0</v>
      </c>
      <c r="H13" s="31"/>
      <c r="I13" s="33">
        <f t="shared" si="2"/>
        <v>0</v>
      </c>
      <c r="J13" s="33">
        <f t="shared" si="3"/>
        <v>0</v>
      </c>
      <c r="K13" s="31"/>
      <c r="L13" s="34">
        <f t="shared" si="4"/>
        <v>0</v>
      </c>
      <c r="M13" s="31"/>
      <c r="N13" s="31"/>
      <c r="O13" s="31"/>
      <c r="P13" s="31"/>
      <c r="Q13" s="33">
        <f t="shared" ref="Q13:S13" si="15">IFERROR(N13/M13,0)</f>
        <v>0</v>
      </c>
      <c r="R13" s="33">
        <f t="shared" si="15"/>
        <v>0</v>
      </c>
      <c r="S13" s="33">
        <f t="shared" si="15"/>
        <v>0</v>
      </c>
      <c r="T13" s="31">
        <f t="shared" si="7"/>
        <v>0</v>
      </c>
      <c r="U13" s="31">
        <f t="shared" si="8"/>
        <v>0</v>
      </c>
      <c r="V13" s="31">
        <f t="shared" si="9"/>
        <v>0</v>
      </c>
      <c r="W13" s="1"/>
      <c r="X13" s="1"/>
      <c r="Y13" s="1"/>
      <c r="Z13" s="1"/>
    </row>
    <row r="14" spans="1:26" x14ac:dyDescent="0.35">
      <c r="A14" s="1"/>
      <c r="B14" s="22"/>
      <c r="C14" s="29">
        <v>46060</v>
      </c>
      <c r="D14" s="30"/>
      <c r="E14" s="31"/>
      <c r="F14" s="31"/>
      <c r="G14" s="32">
        <f t="shared" si="1"/>
        <v>0</v>
      </c>
      <c r="H14" s="31"/>
      <c r="I14" s="33">
        <f t="shared" si="2"/>
        <v>0</v>
      </c>
      <c r="J14" s="33">
        <f t="shared" si="3"/>
        <v>0</v>
      </c>
      <c r="K14" s="31"/>
      <c r="L14" s="34">
        <f t="shared" si="4"/>
        <v>0</v>
      </c>
      <c r="M14" s="31"/>
      <c r="N14" s="31"/>
      <c r="O14" s="31"/>
      <c r="P14" s="31"/>
      <c r="Q14" s="33">
        <f t="shared" ref="Q14:S14" si="16">IFERROR(N14/M14,0)</f>
        <v>0</v>
      </c>
      <c r="R14" s="33">
        <f t="shared" si="16"/>
        <v>0</v>
      </c>
      <c r="S14" s="33">
        <f t="shared" si="16"/>
        <v>0</v>
      </c>
      <c r="T14" s="31">
        <f t="shared" si="7"/>
        <v>0</v>
      </c>
      <c r="U14" s="31">
        <f t="shared" si="8"/>
        <v>0</v>
      </c>
      <c r="V14" s="31">
        <f t="shared" si="9"/>
        <v>0</v>
      </c>
      <c r="W14" s="1"/>
      <c r="X14" s="1"/>
      <c r="Y14" s="1"/>
      <c r="Z14" s="1"/>
    </row>
    <row r="15" spans="1:26" x14ac:dyDescent="0.35">
      <c r="A15" s="1"/>
      <c r="B15" s="35"/>
      <c r="C15" s="29">
        <v>46061</v>
      </c>
      <c r="D15" s="30"/>
      <c r="E15" s="31"/>
      <c r="F15" s="31"/>
      <c r="G15" s="32">
        <f t="shared" si="1"/>
        <v>0</v>
      </c>
      <c r="H15" s="31"/>
      <c r="I15" s="33">
        <f t="shared" si="2"/>
        <v>0</v>
      </c>
      <c r="J15" s="33">
        <f t="shared" si="3"/>
        <v>0</v>
      </c>
      <c r="K15" s="31"/>
      <c r="L15" s="34">
        <f t="shared" si="4"/>
        <v>0</v>
      </c>
      <c r="M15" s="31">
        <v>113</v>
      </c>
      <c r="N15" s="31">
        <v>45</v>
      </c>
      <c r="O15" s="31">
        <v>33</v>
      </c>
      <c r="P15" s="31">
        <v>1</v>
      </c>
      <c r="Q15" s="33">
        <f t="shared" ref="Q15:S15" si="17">IFERROR(N15/M15,0)</f>
        <v>0.39823008849557523</v>
      </c>
      <c r="R15" s="33">
        <f t="shared" si="17"/>
        <v>0.73333333333333328</v>
      </c>
      <c r="S15" s="33">
        <f t="shared" si="17"/>
        <v>3.0303030303030304E-2</v>
      </c>
      <c r="T15" s="31">
        <f t="shared" si="7"/>
        <v>0</v>
      </c>
      <c r="U15" s="31">
        <f t="shared" si="8"/>
        <v>0</v>
      </c>
      <c r="V15" s="31">
        <f t="shared" si="9"/>
        <v>0</v>
      </c>
      <c r="W15" s="1"/>
      <c r="X15" s="1"/>
      <c r="Y15" s="1"/>
      <c r="Z15" s="1"/>
    </row>
    <row r="16" spans="1:26" x14ac:dyDescent="0.35">
      <c r="A16" s="1"/>
      <c r="B16" s="35"/>
      <c r="C16" s="29">
        <v>46062</v>
      </c>
      <c r="D16" s="30"/>
      <c r="E16" s="31"/>
      <c r="F16" s="31"/>
      <c r="G16" s="32">
        <f t="shared" si="1"/>
        <v>0</v>
      </c>
      <c r="H16" s="31"/>
      <c r="I16" s="33">
        <f t="shared" si="2"/>
        <v>0</v>
      </c>
      <c r="J16" s="33">
        <f t="shared" si="3"/>
        <v>0</v>
      </c>
      <c r="K16" s="31"/>
      <c r="L16" s="34">
        <f t="shared" si="4"/>
        <v>0</v>
      </c>
      <c r="M16" s="31"/>
      <c r="N16" s="31"/>
      <c r="O16" s="31"/>
      <c r="P16" s="31"/>
      <c r="Q16" s="33">
        <f t="shared" ref="Q16:S16" si="18">IFERROR(N16/M16,0)</f>
        <v>0</v>
      </c>
      <c r="R16" s="33">
        <f t="shared" si="18"/>
        <v>0</v>
      </c>
      <c r="S16" s="33">
        <f t="shared" si="18"/>
        <v>0</v>
      </c>
      <c r="T16" s="31">
        <f t="shared" si="7"/>
        <v>0</v>
      </c>
      <c r="U16" s="31">
        <f t="shared" si="8"/>
        <v>0</v>
      </c>
      <c r="V16" s="31">
        <f t="shared" si="9"/>
        <v>0</v>
      </c>
      <c r="W16" s="1"/>
      <c r="X16" s="1"/>
      <c r="Y16" s="1"/>
      <c r="Z16" s="1"/>
    </row>
    <row r="17" spans="1:26" x14ac:dyDescent="0.35">
      <c r="A17" s="1"/>
      <c r="B17" s="35"/>
      <c r="C17" s="29">
        <v>46063</v>
      </c>
      <c r="D17" s="30"/>
      <c r="E17" s="31"/>
      <c r="F17" s="31"/>
      <c r="G17" s="32">
        <f t="shared" si="1"/>
        <v>0</v>
      </c>
      <c r="H17" s="31"/>
      <c r="I17" s="33">
        <f t="shared" si="2"/>
        <v>0</v>
      </c>
      <c r="J17" s="33">
        <f t="shared" si="3"/>
        <v>0</v>
      </c>
      <c r="K17" s="31"/>
      <c r="L17" s="34">
        <f t="shared" si="4"/>
        <v>0</v>
      </c>
      <c r="M17" s="31"/>
      <c r="N17" s="31"/>
      <c r="O17" s="31"/>
      <c r="P17" s="31"/>
      <c r="Q17" s="33">
        <f t="shared" ref="Q17:S17" si="19">IFERROR(N17/M17,0)</f>
        <v>0</v>
      </c>
      <c r="R17" s="33">
        <f t="shared" si="19"/>
        <v>0</v>
      </c>
      <c r="S17" s="33">
        <f t="shared" si="19"/>
        <v>0</v>
      </c>
      <c r="T17" s="31">
        <f t="shared" si="7"/>
        <v>0</v>
      </c>
      <c r="U17" s="31">
        <f t="shared" si="8"/>
        <v>0</v>
      </c>
      <c r="V17" s="31">
        <f t="shared" si="9"/>
        <v>0</v>
      </c>
      <c r="W17" s="1"/>
      <c r="X17" s="1"/>
      <c r="Y17" s="1"/>
      <c r="Z17" s="1"/>
    </row>
    <row r="18" spans="1:26" x14ac:dyDescent="0.35">
      <c r="A18" s="1"/>
      <c r="B18" s="35"/>
      <c r="C18" s="29">
        <v>46064</v>
      </c>
      <c r="D18" s="30"/>
      <c r="E18" s="31"/>
      <c r="F18" s="31"/>
      <c r="G18" s="32">
        <f t="shared" si="1"/>
        <v>0</v>
      </c>
      <c r="H18" s="31"/>
      <c r="I18" s="33">
        <f t="shared" si="2"/>
        <v>0</v>
      </c>
      <c r="J18" s="33">
        <f t="shared" si="3"/>
        <v>0</v>
      </c>
      <c r="K18" s="31"/>
      <c r="L18" s="34">
        <f t="shared" si="4"/>
        <v>0</v>
      </c>
      <c r="M18" s="31">
        <v>58</v>
      </c>
      <c r="N18" s="31">
        <v>20</v>
      </c>
      <c r="O18" s="31">
        <v>12</v>
      </c>
      <c r="P18" s="31">
        <v>2</v>
      </c>
      <c r="Q18" s="33">
        <f t="shared" ref="Q18:S18" si="20">IFERROR(N18/M18,0)</f>
        <v>0.34482758620689657</v>
      </c>
      <c r="R18" s="33">
        <f t="shared" si="20"/>
        <v>0.6</v>
      </c>
      <c r="S18" s="33">
        <f t="shared" si="20"/>
        <v>0.16666666666666666</v>
      </c>
      <c r="T18" s="31">
        <f t="shared" si="7"/>
        <v>0</v>
      </c>
      <c r="U18" s="31">
        <f t="shared" si="8"/>
        <v>0</v>
      </c>
      <c r="V18" s="31">
        <f t="shared" si="9"/>
        <v>0</v>
      </c>
      <c r="W18" s="1"/>
      <c r="X18" s="1"/>
      <c r="Y18" s="1"/>
      <c r="Z18" s="1"/>
    </row>
    <row r="19" spans="1:26" x14ac:dyDescent="0.35">
      <c r="A19" s="1"/>
      <c r="B19" s="35"/>
      <c r="C19" s="29">
        <v>46065</v>
      </c>
      <c r="D19" s="30"/>
      <c r="E19" s="31"/>
      <c r="F19" s="31"/>
      <c r="G19" s="32">
        <f t="shared" si="1"/>
        <v>0</v>
      </c>
      <c r="H19" s="31"/>
      <c r="I19" s="33">
        <f t="shared" si="2"/>
        <v>0</v>
      </c>
      <c r="J19" s="33">
        <f t="shared" si="3"/>
        <v>0</v>
      </c>
      <c r="K19" s="31"/>
      <c r="L19" s="34">
        <f t="shared" si="4"/>
        <v>0</v>
      </c>
      <c r="M19" s="31">
        <v>93</v>
      </c>
      <c r="N19" s="31">
        <v>15</v>
      </c>
      <c r="O19" s="31">
        <v>13</v>
      </c>
      <c r="P19" s="31">
        <v>2</v>
      </c>
      <c r="Q19" s="33">
        <f t="shared" ref="Q19:S19" si="21">IFERROR(N19/M19,0)</f>
        <v>0.16129032258064516</v>
      </c>
      <c r="R19" s="33">
        <f t="shared" si="21"/>
        <v>0.8666666666666667</v>
      </c>
      <c r="S19" s="33">
        <f t="shared" si="21"/>
        <v>0.15384615384615385</v>
      </c>
      <c r="T19" s="31">
        <f t="shared" si="7"/>
        <v>0</v>
      </c>
      <c r="U19" s="31">
        <f t="shared" si="8"/>
        <v>0</v>
      </c>
      <c r="V19" s="31">
        <f t="shared" si="9"/>
        <v>0</v>
      </c>
      <c r="W19" s="1"/>
      <c r="X19" s="1"/>
      <c r="Y19" s="1"/>
      <c r="Z19" s="1"/>
    </row>
    <row r="20" spans="1:26" x14ac:dyDescent="0.35">
      <c r="A20" s="1"/>
      <c r="B20" s="35"/>
      <c r="C20" s="29">
        <v>46066</v>
      </c>
      <c r="D20" s="30"/>
      <c r="E20" s="31"/>
      <c r="F20" s="31"/>
      <c r="G20" s="32">
        <f t="shared" si="1"/>
        <v>0</v>
      </c>
      <c r="H20" s="31"/>
      <c r="I20" s="33">
        <f t="shared" si="2"/>
        <v>0</v>
      </c>
      <c r="J20" s="33">
        <f t="shared" si="3"/>
        <v>0</v>
      </c>
      <c r="K20" s="31"/>
      <c r="L20" s="34">
        <f t="shared" si="4"/>
        <v>0</v>
      </c>
      <c r="M20" s="31">
        <v>176</v>
      </c>
      <c r="N20" s="31">
        <v>31</v>
      </c>
      <c r="O20" s="31">
        <v>25</v>
      </c>
      <c r="P20" s="31">
        <v>2</v>
      </c>
      <c r="Q20" s="33">
        <f t="shared" ref="Q20:S20" si="22">IFERROR(N20/M20,0)</f>
        <v>0.17613636363636365</v>
      </c>
      <c r="R20" s="33">
        <f t="shared" si="22"/>
        <v>0.80645161290322576</v>
      </c>
      <c r="S20" s="33">
        <f t="shared" si="22"/>
        <v>0.08</v>
      </c>
      <c r="T20" s="31">
        <f t="shared" si="7"/>
        <v>0</v>
      </c>
      <c r="U20" s="31">
        <f t="shared" si="8"/>
        <v>0</v>
      </c>
      <c r="V20" s="31">
        <f t="shared" si="9"/>
        <v>0</v>
      </c>
      <c r="W20" s="1"/>
      <c r="X20" s="1"/>
      <c r="Y20" s="1"/>
      <c r="Z20" s="1"/>
    </row>
    <row r="21" spans="1:26" x14ac:dyDescent="0.35">
      <c r="A21" s="1"/>
      <c r="B21" s="35"/>
      <c r="C21" s="29">
        <v>46067</v>
      </c>
      <c r="D21" s="30"/>
      <c r="E21" s="31"/>
      <c r="F21" s="31"/>
      <c r="G21" s="32">
        <f t="shared" si="1"/>
        <v>0</v>
      </c>
      <c r="H21" s="31"/>
      <c r="I21" s="33">
        <f t="shared" si="2"/>
        <v>0</v>
      </c>
      <c r="J21" s="33">
        <f t="shared" si="3"/>
        <v>0</v>
      </c>
      <c r="K21" s="31"/>
      <c r="L21" s="34">
        <f t="shared" si="4"/>
        <v>0</v>
      </c>
      <c r="M21" s="31">
        <v>91</v>
      </c>
      <c r="N21" s="31">
        <v>24</v>
      </c>
      <c r="O21" s="31">
        <v>18</v>
      </c>
      <c r="P21" s="31">
        <v>2</v>
      </c>
      <c r="Q21" s="33">
        <f t="shared" ref="Q21:S21" si="23">IFERROR(N21/M21,0)</f>
        <v>0.26373626373626374</v>
      </c>
      <c r="R21" s="33">
        <f t="shared" si="23"/>
        <v>0.75</v>
      </c>
      <c r="S21" s="33">
        <f t="shared" si="23"/>
        <v>0.1111111111111111</v>
      </c>
      <c r="T21" s="31">
        <f t="shared" si="7"/>
        <v>0</v>
      </c>
      <c r="U21" s="31">
        <f t="shared" si="8"/>
        <v>0</v>
      </c>
      <c r="V21" s="31">
        <f t="shared" si="9"/>
        <v>0</v>
      </c>
      <c r="W21" s="1"/>
      <c r="X21" s="1"/>
      <c r="Y21" s="1"/>
      <c r="Z21" s="1"/>
    </row>
    <row r="22" spans="1:26" x14ac:dyDescent="0.35">
      <c r="A22" s="1"/>
      <c r="B22" s="35"/>
      <c r="C22" s="29">
        <v>46068</v>
      </c>
      <c r="D22" s="30"/>
      <c r="E22" s="31"/>
      <c r="F22" s="31"/>
      <c r="G22" s="32">
        <f t="shared" si="1"/>
        <v>0</v>
      </c>
      <c r="H22" s="31"/>
      <c r="I22" s="33">
        <f t="shared" si="2"/>
        <v>0</v>
      </c>
      <c r="J22" s="33">
        <f t="shared" si="3"/>
        <v>0</v>
      </c>
      <c r="K22" s="31"/>
      <c r="L22" s="34">
        <f t="shared" si="4"/>
        <v>0</v>
      </c>
      <c r="M22" s="31">
        <v>91</v>
      </c>
      <c r="N22" s="31">
        <v>27</v>
      </c>
      <c r="O22" s="31">
        <v>12</v>
      </c>
      <c r="P22" s="31">
        <v>2</v>
      </c>
      <c r="Q22" s="33">
        <f t="shared" ref="Q22:S22" si="24">IFERROR(N22/M22,0)</f>
        <v>0.2967032967032967</v>
      </c>
      <c r="R22" s="33">
        <f t="shared" si="24"/>
        <v>0.44444444444444442</v>
      </c>
      <c r="S22" s="33">
        <f t="shared" si="24"/>
        <v>0.16666666666666666</v>
      </c>
      <c r="T22" s="31">
        <f t="shared" si="7"/>
        <v>0</v>
      </c>
      <c r="U22" s="31">
        <f t="shared" si="8"/>
        <v>0</v>
      </c>
      <c r="V22" s="31">
        <f t="shared" si="9"/>
        <v>0</v>
      </c>
      <c r="W22" s="1"/>
      <c r="X22" s="1"/>
      <c r="Y22" s="1"/>
      <c r="Z22" s="1"/>
    </row>
    <row r="23" spans="1:26" x14ac:dyDescent="0.35">
      <c r="A23" s="1"/>
      <c r="B23" s="35"/>
      <c r="C23" s="29">
        <v>46069</v>
      </c>
      <c r="D23" s="30"/>
      <c r="E23" s="31"/>
      <c r="F23" s="31"/>
      <c r="G23" s="32">
        <f t="shared" si="1"/>
        <v>0</v>
      </c>
      <c r="H23" s="31"/>
      <c r="I23" s="33">
        <f t="shared" si="2"/>
        <v>0</v>
      </c>
      <c r="J23" s="33">
        <f t="shared" si="3"/>
        <v>0</v>
      </c>
      <c r="K23" s="31"/>
      <c r="L23" s="34">
        <f t="shared" si="4"/>
        <v>0</v>
      </c>
      <c r="M23" s="31"/>
      <c r="N23" s="31"/>
      <c r="O23" s="31"/>
      <c r="P23" s="31"/>
      <c r="Q23" s="33">
        <f t="shared" ref="Q23:S23" si="25">IFERROR(N23/M23,0)</f>
        <v>0</v>
      </c>
      <c r="R23" s="33">
        <f t="shared" si="25"/>
        <v>0</v>
      </c>
      <c r="S23" s="33">
        <f t="shared" si="25"/>
        <v>0</v>
      </c>
      <c r="T23" s="31">
        <f t="shared" si="7"/>
        <v>0</v>
      </c>
      <c r="U23" s="31">
        <f t="shared" si="8"/>
        <v>0</v>
      </c>
      <c r="V23" s="31">
        <f t="shared" si="9"/>
        <v>0</v>
      </c>
      <c r="W23" s="1"/>
      <c r="X23" s="1"/>
      <c r="Y23" s="1"/>
      <c r="Z23" s="1"/>
    </row>
    <row r="24" spans="1:26" x14ac:dyDescent="0.35">
      <c r="A24" s="1"/>
      <c r="B24" s="35"/>
      <c r="C24" s="29">
        <v>46070</v>
      </c>
      <c r="D24" s="30"/>
      <c r="E24" s="31"/>
      <c r="F24" s="31"/>
      <c r="G24" s="32">
        <f t="shared" si="1"/>
        <v>0</v>
      </c>
      <c r="H24" s="31"/>
      <c r="I24" s="33">
        <f t="shared" si="2"/>
        <v>0</v>
      </c>
      <c r="J24" s="33">
        <f t="shared" si="3"/>
        <v>0</v>
      </c>
      <c r="K24" s="31"/>
      <c r="L24" s="34">
        <f t="shared" si="4"/>
        <v>0</v>
      </c>
      <c r="M24" s="31"/>
      <c r="N24" s="31"/>
      <c r="O24" s="31"/>
      <c r="P24" s="31"/>
      <c r="Q24" s="33">
        <f t="shared" ref="Q24:S24" si="26">IFERROR(N24/M24,0)</f>
        <v>0</v>
      </c>
      <c r="R24" s="33">
        <f t="shared" si="26"/>
        <v>0</v>
      </c>
      <c r="S24" s="33">
        <f t="shared" si="26"/>
        <v>0</v>
      </c>
      <c r="T24" s="31">
        <f t="shared" si="7"/>
        <v>0</v>
      </c>
      <c r="U24" s="31">
        <f t="shared" si="8"/>
        <v>0</v>
      </c>
      <c r="V24" s="31">
        <f t="shared" si="9"/>
        <v>0</v>
      </c>
      <c r="W24" s="1"/>
      <c r="X24" s="1"/>
      <c r="Y24" s="1"/>
      <c r="Z24" s="1"/>
    </row>
    <row r="25" spans="1:26" x14ac:dyDescent="0.35">
      <c r="A25" s="1"/>
      <c r="B25" s="35"/>
      <c r="C25" s="29">
        <v>46071</v>
      </c>
      <c r="D25" s="30"/>
      <c r="E25" s="31"/>
      <c r="F25" s="31"/>
      <c r="G25" s="32">
        <f t="shared" si="1"/>
        <v>0</v>
      </c>
      <c r="H25" s="31"/>
      <c r="I25" s="33">
        <f t="shared" si="2"/>
        <v>0</v>
      </c>
      <c r="J25" s="33">
        <f t="shared" si="3"/>
        <v>0</v>
      </c>
      <c r="K25" s="31"/>
      <c r="L25" s="34">
        <f t="shared" si="4"/>
        <v>0</v>
      </c>
      <c r="M25" s="31"/>
      <c r="N25" s="31"/>
      <c r="O25" s="31"/>
      <c r="P25" s="31"/>
      <c r="Q25" s="33">
        <f t="shared" ref="Q25:S25" si="27">IFERROR(N25/M25,0)</f>
        <v>0</v>
      </c>
      <c r="R25" s="33">
        <f t="shared" si="27"/>
        <v>0</v>
      </c>
      <c r="S25" s="33">
        <f t="shared" si="27"/>
        <v>0</v>
      </c>
      <c r="T25" s="31">
        <f t="shared" si="7"/>
        <v>0</v>
      </c>
      <c r="U25" s="31">
        <f t="shared" si="8"/>
        <v>0</v>
      </c>
      <c r="V25" s="31">
        <f t="shared" si="9"/>
        <v>0</v>
      </c>
      <c r="W25" s="1"/>
      <c r="X25" s="1"/>
      <c r="Y25" s="1"/>
      <c r="Z25" s="1"/>
    </row>
    <row r="26" spans="1:26" x14ac:dyDescent="0.35">
      <c r="A26" s="1"/>
      <c r="B26" s="35"/>
      <c r="C26" s="29">
        <v>46072</v>
      </c>
      <c r="D26" s="30"/>
      <c r="E26" s="31"/>
      <c r="F26" s="31"/>
      <c r="G26" s="32">
        <f t="shared" si="1"/>
        <v>0</v>
      </c>
      <c r="H26" s="31"/>
      <c r="I26" s="33">
        <f t="shared" si="2"/>
        <v>0</v>
      </c>
      <c r="J26" s="33">
        <f t="shared" si="3"/>
        <v>0</v>
      </c>
      <c r="K26" s="31"/>
      <c r="L26" s="34">
        <f t="shared" si="4"/>
        <v>0</v>
      </c>
      <c r="M26" s="31"/>
      <c r="N26" s="31"/>
      <c r="O26" s="31"/>
      <c r="P26" s="31"/>
      <c r="Q26" s="33">
        <f t="shared" ref="Q26:S26" si="28">IFERROR(N26/M26,0)</f>
        <v>0</v>
      </c>
      <c r="R26" s="33">
        <f t="shared" si="28"/>
        <v>0</v>
      </c>
      <c r="S26" s="33">
        <f t="shared" si="28"/>
        <v>0</v>
      </c>
      <c r="T26" s="31">
        <f t="shared" si="7"/>
        <v>0</v>
      </c>
      <c r="U26" s="31">
        <f t="shared" si="8"/>
        <v>0</v>
      </c>
      <c r="V26" s="31">
        <f t="shared" si="9"/>
        <v>0</v>
      </c>
      <c r="W26" s="1"/>
      <c r="X26" s="1"/>
      <c r="Y26" s="1"/>
      <c r="Z26" s="1"/>
    </row>
    <row r="27" spans="1:26" x14ac:dyDescent="0.35">
      <c r="A27" s="1"/>
      <c r="B27" s="35"/>
      <c r="C27" s="29">
        <v>46073</v>
      </c>
      <c r="D27" s="30"/>
      <c r="E27" s="31"/>
      <c r="F27" s="31"/>
      <c r="G27" s="32">
        <f t="shared" si="1"/>
        <v>0</v>
      </c>
      <c r="H27" s="31"/>
      <c r="I27" s="33">
        <f t="shared" si="2"/>
        <v>0</v>
      </c>
      <c r="J27" s="33">
        <f t="shared" si="3"/>
        <v>0</v>
      </c>
      <c r="K27" s="31"/>
      <c r="L27" s="34">
        <f t="shared" si="4"/>
        <v>0</v>
      </c>
      <c r="M27" s="31"/>
      <c r="N27" s="31"/>
      <c r="O27" s="31"/>
      <c r="P27" s="31"/>
      <c r="Q27" s="33">
        <f t="shared" ref="Q27:S27" si="29">IFERROR(N27/M27,0)</f>
        <v>0</v>
      </c>
      <c r="R27" s="33">
        <f t="shared" si="29"/>
        <v>0</v>
      </c>
      <c r="S27" s="33">
        <f t="shared" si="29"/>
        <v>0</v>
      </c>
      <c r="T27" s="31">
        <f t="shared" si="7"/>
        <v>0</v>
      </c>
      <c r="U27" s="31">
        <f t="shared" si="8"/>
        <v>0</v>
      </c>
      <c r="V27" s="31">
        <f t="shared" si="9"/>
        <v>0</v>
      </c>
      <c r="W27" s="1"/>
      <c r="X27" s="1"/>
      <c r="Y27" s="1"/>
      <c r="Z27" s="1"/>
    </row>
    <row r="28" spans="1:26" x14ac:dyDescent="0.35">
      <c r="A28" s="1"/>
      <c r="B28" s="35"/>
      <c r="C28" s="29">
        <v>46074</v>
      </c>
      <c r="D28" s="30"/>
      <c r="E28" s="31"/>
      <c r="F28" s="31"/>
      <c r="G28" s="32">
        <f t="shared" si="1"/>
        <v>0</v>
      </c>
      <c r="H28" s="31"/>
      <c r="I28" s="33">
        <f t="shared" si="2"/>
        <v>0</v>
      </c>
      <c r="J28" s="33">
        <f t="shared" si="3"/>
        <v>0</v>
      </c>
      <c r="K28" s="31"/>
      <c r="L28" s="34">
        <f t="shared" si="4"/>
        <v>0</v>
      </c>
      <c r="M28" s="31"/>
      <c r="N28" s="31"/>
      <c r="O28" s="31"/>
      <c r="P28" s="31"/>
      <c r="Q28" s="33">
        <f t="shared" ref="Q28:S28" si="30">IFERROR(N28/M28,0)</f>
        <v>0</v>
      </c>
      <c r="R28" s="33">
        <f t="shared" si="30"/>
        <v>0</v>
      </c>
      <c r="S28" s="33">
        <f t="shared" si="30"/>
        <v>0</v>
      </c>
      <c r="T28" s="31">
        <f t="shared" si="7"/>
        <v>0</v>
      </c>
      <c r="U28" s="31">
        <f t="shared" si="8"/>
        <v>0</v>
      </c>
      <c r="V28" s="31">
        <f t="shared" si="9"/>
        <v>0</v>
      </c>
      <c r="W28" s="1"/>
      <c r="X28" s="1"/>
      <c r="Y28" s="1"/>
      <c r="Z28" s="1"/>
    </row>
    <row r="29" spans="1:26" x14ac:dyDescent="0.35">
      <c r="A29" s="1"/>
      <c r="B29" s="35"/>
      <c r="C29" s="29">
        <v>46075</v>
      </c>
      <c r="D29" s="30"/>
      <c r="E29" s="31"/>
      <c r="F29" s="31"/>
      <c r="G29" s="32">
        <f t="shared" si="1"/>
        <v>0</v>
      </c>
      <c r="H29" s="31"/>
      <c r="I29" s="33">
        <f t="shared" si="2"/>
        <v>0</v>
      </c>
      <c r="J29" s="33">
        <f t="shared" si="3"/>
        <v>0</v>
      </c>
      <c r="K29" s="31"/>
      <c r="L29" s="34">
        <f t="shared" si="4"/>
        <v>0</v>
      </c>
      <c r="M29" s="31"/>
      <c r="N29" s="31"/>
      <c r="O29" s="31"/>
      <c r="P29" s="31"/>
      <c r="Q29" s="33">
        <f t="shared" ref="Q29:S29" si="31">IFERROR(N29/M29,0)</f>
        <v>0</v>
      </c>
      <c r="R29" s="33">
        <f t="shared" si="31"/>
        <v>0</v>
      </c>
      <c r="S29" s="33">
        <f t="shared" si="31"/>
        <v>0</v>
      </c>
      <c r="T29" s="31">
        <f t="shared" si="7"/>
        <v>0</v>
      </c>
      <c r="U29" s="31">
        <f t="shared" si="8"/>
        <v>0</v>
      </c>
      <c r="V29" s="31">
        <f t="shared" si="9"/>
        <v>0</v>
      </c>
      <c r="W29" s="1"/>
      <c r="X29" s="1"/>
      <c r="Y29" s="1"/>
      <c r="Z29" s="1"/>
    </row>
    <row r="30" spans="1:26" x14ac:dyDescent="0.35">
      <c r="A30" s="1"/>
      <c r="B30" s="35"/>
      <c r="C30" s="29">
        <v>46076</v>
      </c>
      <c r="D30" s="30"/>
      <c r="E30" s="31"/>
      <c r="F30" s="31"/>
      <c r="G30" s="32">
        <f t="shared" si="1"/>
        <v>0</v>
      </c>
      <c r="H30" s="31"/>
      <c r="I30" s="33">
        <f t="shared" si="2"/>
        <v>0</v>
      </c>
      <c r="J30" s="33">
        <f t="shared" si="3"/>
        <v>0</v>
      </c>
      <c r="K30" s="31"/>
      <c r="L30" s="34">
        <f t="shared" si="4"/>
        <v>0</v>
      </c>
      <c r="M30" s="31"/>
      <c r="N30" s="31"/>
      <c r="O30" s="31"/>
      <c r="P30" s="31"/>
      <c r="Q30" s="33">
        <f t="shared" ref="Q30:S30" si="32">IFERROR(N30/M30,0)</f>
        <v>0</v>
      </c>
      <c r="R30" s="33">
        <f t="shared" si="32"/>
        <v>0</v>
      </c>
      <c r="S30" s="33">
        <f t="shared" si="32"/>
        <v>0</v>
      </c>
      <c r="T30" s="31">
        <f t="shared" si="7"/>
        <v>0</v>
      </c>
      <c r="U30" s="31">
        <f t="shared" si="8"/>
        <v>0</v>
      </c>
      <c r="V30" s="31">
        <f t="shared" si="9"/>
        <v>0</v>
      </c>
      <c r="W30" s="1"/>
      <c r="X30" s="1"/>
      <c r="Y30" s="1"/>
      <c r="Z30" s="1"/>
    </row>
    <row r="31" spans="1:26" x14ac:dyDescent="0.35">
      <c r="A31" s="1"/>
      <c r="B31" s="35"/>
      <c r="C31" s="29">
        <v>46077</v>
      </c>
      <c r="D31" s="30"/>
      <c r="E31" s="31"/>
      <c r="F31" s="31"/>
      <c r="G31" s="32">
        <f t="shared" si="1"/>
        <v>0</v>
      </c>
      <c r="H31" s="31"/>
      <c r="I31" s="33">
        <f t="shared" si="2"/>
        <v>0</v>
      </c>
      <c r="J31" s="33">
        <f t="shared" si="3"/>
        <v>0</v>
      </c>
      <c r="K31" s="31"/>
      <c r="L31" s="34">
        <f t="shared" si="4"/>
        <v>0</v>
      </c>
      <c r="M31" s="31"/>
      <c r="N31" s="31"/>
      <c r="O31" s="31"/>
      <c r="P31" s="31"/>
      <c r="Q31" s="33">
        <f t="shared" ref="Q31:S31" si="33">IFERROR(N31/M31,0)</f>
        <v>0</v>
      </c>
      <c r="R31" s="33">
        <f t="shared" si="33"/>
        <v>0</v>
      </c>
      <c r="S31" s="33">
        <f t="shared" si="33"/>
        <v>0</v>
      </c>
      <c r="T31" s="31">
        <f t="shared" si="7"/>
        <v>0</v>
      </c>
      <c r="U31" s="31">
        <f t="shared" si="8"/>
        <v>0</v>
      </c>
      <c r="V31" s="31">
        <f t="shared" si="9"/>
        <v>0</v>
      </c>
      <c r="W31" s="1"/>
      <c r="X31" s="1"/>
      <c r="Y31" s="1"/>
      <c r="Z31" s="1"/>
    </row>
    <row r="32" spans="1:26" x14ac:dyDescent="0.35">
      <c r="A32" s="1"/>
      <c r="B32" s="35"/>
      <c r="C32" s="29">
        <v>46078</v>
      </c>
      <c r="D32" s="30"/>
      <c r="E32" s="31"/>
      <c r="F32" s="31"/>
      <c r="G32" s="32">
        <f t="shared" si="1"/>
        <v>0</v>
      </c>
      <c r="H32" s="31"/>
      <c r="I32" s="33">
        <f t="shared" si="2"/>
        <v>0</v>
      </c>
      <c r="J32" s="33">
        <f t="shared" si="3"/>
        <v>0</v>
      </c>
      <c r="K32" s="31"/>
      <c r="L32" s="34">
        <f t="shared" si="4"/>
        <v>0</v>
      </c>
      <c r="M32" s="31"/>
      <c r="N32" s="31"/>
      <c r="O32" s="31"/>
      <c r="P32" s="31"/>
      <c r="Q32" s="33">
        <f t="shared" ref="Q32:S32" si="34">IFERROR(N32/M32,0)</f>
        <v>0</v>
      </c>
      <c r="R32" s="33">
        <f t="shared" si="34"/>
        <v>0</v>
      </c>
      <c r="S32" s="33">
        <f t="shared" si="34"/>
        <v>0</v>
      </c>
      <c r="T32" s="31">
        <f t="shared" si="7"/>
        <v>0</v>
      </c>
      <c r="U32" s="31">
        <f t="shared" si="8"/>
        <v>0</v>
      </c>
      <c r="V32" s="31">
        <f t="shared" si="9"/>
        <v>0</v>
      </c>
      <c r="W32" s="1"/>
      <c r="X32" s="1"/>
      <c r="Y32" s="1"/>
      <c r="Z32" s="1"/>
    </row>
    <row r="33" spans="1:26" x14ac:dyDescent="0.35">
      <c r="A33" s="1"/>
      <c r="B33" s="35"/>
      <c r="C33" s="29">
        <v>46079</v>
      </c>
      <c r="D33" s="30"/>
      <c r="E33" s="31"/>
      <c r="F33" s="31"/>
      <c r="G33" s="32">
        <f t="shared" si="1"/>
        <v>0</v>
      </c>
      <c r="H33" s="31"/>
      <c r="I33" s="33">
        <f t="shared" si="2"/>
        <v>0</v>
      </c>
      <c r="J33" s="33">
        <f t="shared" si="3"/>
        <v>0</v>
      </c>
      <c r="K33" s="31"/>
      <c r="L33" s="34">
        <f t="shared" si="4"/>
        <v>0</v>
      </c>
      <c r="M33" s="31"/>
      <c r="N33" s="31"/>
      <c r="O33" s="31"/>
      <c r="P33" s="31"/>
      <c r="Q33" s="33">
        <f t="shared" ref="Q33:S33" si="35">IFERROR(N33/M33,0)</f>
        <v>0</v>
      </c>
      <c r="R33" s="33">
        <f t="shared" si="35"/>
        <v>0</v>
      </c>
      <c r="S33" s="33">
        <f t="shared" si="35"/>
        <v>0</v>
      </c>
      <c r="T33" s="31">
        <f t="shared" si="7"/>
        <v>0</v>
      </c>
      <c r="U33" s="31">
        <f t="shared" si="8"/>
        <v>0</v>
      </c>
      <c r="V33" s="31">
        <f t="shared" si="9"/>
        <v>0</v>
      </c>
      <c r="W33" s="1"/>
      <c r="X33" s="1"/>
      <c r="Y33" s="1"/>
      <c r="Z33" s="1"/>
    </row>
    <row r="34" spans="1:26" x14ac:dyDescent="0.35">
      <c r="A34" s="1"/>
      <c r="B34" s="35"/>
      <c r="C34" s="29">
        <v>46080</v>
      </c>
      <c r="D34" s="30"/>
      <c r="E34" s="31"/>
      <c r="F34" s="31"/>
      <c r="G34" s="32">
        <f t="shared" si="1"/>
        <v>0</v>
      </c>
      <c r="H34" s="31"/>
      <c r="I34" s="33">
        <f t="shared" si="2"/>
        <v>0</v>
      </c>
      <c r="J34" s="33">
        <f t="shared" si="3"/>
        <v>0</v>
      </c>
      <c r="K34" s="31"/>
      <c r="L34" s="34">
        <f t="shared" si="4"/>
        <v>0</v>
      </c>
      <c r="M34" s="31"/>
      <c r="N34" s="31"/>
      <c r="O34" s="31"/>
      <c r="P34" s="31"/>
      <c r="Q34" s="33">
        <f t="shared" ref="Q34:S34" si="36">IFERROR(N34/M34,0)</f>
        <v>0</v>
      </c>
      <c r="R34" s="33">
        <f t="shared" si="36"/>
        <v>0</v>
      </c>
      <c r="S34" s="33">
        <f t="shared" si="36"/>
        <v>0</v>
      </c>
      <c r="T34" s="31">
        <f t="shared" si="7"/>
        <v>0</v>
      </c>
      <c r="U34" s="31">
        <f t="shared" si="8"/>
        <v>0</v>
      </c>
      <c r="V34" s="31">
        <f t="shared" si="9"/>
        <v>0</v>
      </c>
      <c r="W34" s="1"/>
      <c r="X34" s="1"/>
      <c r="Y34" s="1"/>
      <c r="Z34" s="1"/>
    </row>
    <row r="35" spans="1:26" x14ac:dyDescent="0.35">
      <c r="A35" s="1"/>
      <c r="B35" s="35"/>
      <c r="C35" s="29">
        <v>46081</v>
      </c>
      <c r="D35" s="30"/>
      <c r="E35" s="31"/>
      <c r="F35" s="31"/>
      <c r="G35" s="32">
        <f t="shared" si="1"/>
        <v>0</v>
      </c>
      <c r="H35" s="31"/>
      <c r="I35" s="33">
        <f t="shared" si="2"/>
        <v>0</v>
      </c>
      <c r="J35" s="33">
        <f t="shared" si="3"/>
        <v>0</v>
      </c>
      <c r="K35" s="31"/>
      <c r="L35" s="34">
        <f t="shared" si="4"/>
        <v>0</v>
      </c>
      <c r="M35" s="31"/>
      <c r="N35" s="31"/>
      <c r="O35" s="31"/>
      <c r="P35" s="31"/>
      <c r="Q35" s="33">
        <f t="shared" ref="Q35:S35" si="37">IFERROR(N35/M35,0)</f>
        <v>0</v>
      </c>
      <c r="R35" s="33">
        <f t="shared" si="37"/>
        <v>0</v>
      </c>
      <c r="S35" s="33">
        <f t="shared" si="37"/>
        <v>0</v>
      </c>
      <c r="T35" s="31">
        <f t="shared" si="7"/>
        <v>0</v>
      </c>
      <c r="U35" s="31">
        <f t="shared" si="8"/>
        <v>0</v>
      </c>
      <c r="V35" s="31">
        <f t="shared" si="9"/>
        <v>0</v>
      </c>
      <c r="W35" s="1"/>
      <c r="X35" s="1"/>
      <c r="Y35" s="1"/>
      <c r="Z35" s="1"/>
    </row>
    <row r="36" spans="1:26" x14ac:dyDescent="0.35">
      <c r="A36" s="1"/>
      <c r="B36" s="35"/>
      <c r="C36" s="29"/>
      <c r="D36" s="30"/>
      <c r="E36" s="31"/>
      <c r="F36" s="31"/>
      <c r="G36" s="32">
        <f t="shared" si="1"/>
        <v>0</v>
      </c>
      <c r="H36" s="31"/>
      <c r="I36" s="33">
        <f t="shared" si="2"/>
        <v>0</v>
      </c>
      <c r="J36" s="33">
        <f t="shared" si="3"/>
        <v>0</v>
      </c>
      <c r="K36" s="31"/>
      <c r="L36" s="34">
        <f t="shared" si="4"/>
        <v>0</v>
      </c>
      <c r="M36" s="31"/>
      <c r="N36" s="31"/>
      <c r="O36" s="31"/>
      <c r="P36" s="31"/>
      <c r="Q36" s="33">
        <f t="shared" ref="Q36:S36" si="38">IFERROR(N36/M36,0)</f>
        <v>0</v>
      </c>
      <c r="R36" s="33">
        <f t="shared" si="38"/>
        <v>0</v>
      </c>
      <c r="S36" s="33">
        <f t="shared" si="38"/>
        <v>0</v>
      </c>
      <c r="T36" s="31">
        <f t="shared" si="7"/>
        <v>0</v>
      </c>
      <c r="U36" s="31">
        <f t="shared" si="8"/>
        <v>0</v>
      </c>
      <c r="V36" s="31">
        <f t="shared" si="9"/>
        <v>0</v>
      </c>
      <c r="W36" s="1"/>
      <c r="X36" s="1"/>
      <c r="Y36" s="1"/>
      <c r="Z36" s="1"/>
    </row>
    <row r="37" spans="1:26" x14ac:dyDescent="0.35">
      <c r="A37" s="1"/>
      <c r="B37" s="35"/>
      <c r="C37" s="29"/>
      <c r="D37" s="30"/>
      <c r="E37" s="31"/>
      <c r="F37" s="31"/>
      <c r="G37" s="32">
        <f t="shared" si="1"/>
        <v>0</v>
      </c>
      <c r="H37" s="31"/>
      <c r="I37" s="33">
        <f t="shared" si="2"/>
        <v>0</v>
      </c>
      <c r="J37" s="33">
        <f t="shared" si="3"/>
        <v>0</v>
      </c>
      <c r="K37" s="31"/>
      <c r="L37" s="34">
        <f t="shared" si="4"/>
        <v>0</v>
      </c>
      <c r="M37" s="31"/>
      <c r="N37" s="31"/>
      <c r="O37" s="31"/>
      <c r="P37" s="31"/>
      <c r="Q37" s="33">
        <f t="shared" ref="Q37:S37" si="39">IFERROR(N37/M37,0)</f>
        <v>0</v>
      </c>
      <c r="R37" s="33">
        <f t="shared" si="39"/>
        <v>0</v>
      </c>
      <c r="S37" s="33">
        <f t="shared" si="39"/>
        <v>0</v>
      </c>
      <c r="T37" s="31">
        <f t="shared" si="7"/>
        <v>0</v>
      </c>
      <c r="U37" s="31">
        <f t="shared" si="8"/>
        <v>0</v>
      </c>
      <c r="V37" s="31">
        <f t="shared" si="9"/>
        <v>0</v>
      </c>
      <c r="W37" s="1"/>
      <c r="X37" s="1"/>
      <c r="Y37" s="1"/>
      <c r="Z37" s="1"/>
    </row>
    <row r="38" spans="1:26" x14ac:dyDescent="0.35">
      <c r="A38" s="1"/>
      <c r="B38" s="35"/>
      <c r="C38" s="36"/>
      <c r="D38" s="37"/>
      <c r="E38" s="38"/>
      <c r="F38" s="38"/>
      <c r="G38" s="39">
        <f t="shared" si="1"/>
        <v>0</v>
      </c>
      <c r="H38" s="38"/>
      <c r="I38" s="40">
        <f t="shared" si="2"/>
        <v>0</v>
      </c>
      <c r="J38" s="40">
        <f t="shared" si="3"/>
        <v>0</v>
      </c>
      <c r="K38" s="38"/>
      <c r="L38" s="41">
        <f t="shared" si="4"/>
        <v>0</v>
      </c>
      <c r="M38" s="38"/>
      <c r="N38" s="38"/>
      <c r="O38" s="38"/>
      <c r="P38" s="38"/>
      <c r="Q38" s="40">
        <f t="shared" ref="Q38:S38" si="40">IFERROR(N38/M38,0)</f>
        <v>0</v>
      </c>
      <c r="R38" s="40">
        <f t="shared" si="40"/>
        <v>0</v>
      </c>
      <c r="S38" s="40">
        <f t="shared" si="40"/>
        <v>0</v>
      </c>
      <c r="T38" s="38">
        <f t="shared" si="7"/>
        <v>0</v>
      </c>
      <c r="U38" s="38">
        <f t="shared" si="8"/>
        <v>0</v>
      </c>
      <c r="V38" s="38">
        <f t="shared" si="9"/>
        <v>0</v>
      </c>
      <c r="W38" s="1"/>
      <c r="X38" s="1"/>
      <c r="Y38" s="1"/>
      <c r="Z38" s="1"/>
    </row>
    <row r="39" spans="1:26" x14ac:dyDescent="0.35">
      <c r="A39" s="1"/>
      <c r="B39" s="42" t="s">
        <v>28</v>
      </c>
      <c r="C39" s="43"/>
      <c r="D39" s="43">
        <f>SUM(D8,D35)</f>
        <v>0</v>
      </c>
      <c r="E39" s="44" t="e">
        <f t="shared" ref="E39:F39" si="41">SUM(E7,#REF!)</f>
        <v>#REF!</v>
      </c>
      <c r="F39" s="44" t="e">
        <f t="shared" si="41"/>
        <v>#REF!</v>
      </c>
      <c r="G39" s="45">
        <f t="shared" si="1"/>
        <v>0</v>
      </c>
      <c r="H39" s="44"/>
      <c r="I39" s="46">
        <f t="shared" si="2"/>
        <v>0</v>
      </c>
      <c r="J39" s="46">
        <f t="shared" si="3"/>
        <v>0</v>
      </c>
      <c r="K39" s="44" t="e">
        <f>SUM(K7,#REF!)</f>
        <v>#REF!</v>
      </c>
      <c r="L39" s="47" t="e">
        <f t="shared" si="4"/>
        <v>#REF!</v>
      </c>
      <c r="M39" s="44" t="e">
        <f t="shared" ref="M39:P39" si="42">SUM(M7,#REF!)</f>
        <v>#REF!</v>
      </c>
      <c r="N39" s="44" t="e">
        <f t="shared" si="42"/>
        <v>#REF!</v>
      </c>
      <c r="O39" s="44" t="e">
        <f t="shared" si="42"/>
        <v>#REF!</v>
      </c>
      <c r="P39" s="44" t="e">
        <f t="shared" si="42"/>
        <v>#REF!</v>
      </c>
      <c r="Q39" s="46">
        <f t="shared" ref="Q39:S39" si="43">IFERROR(N39/M39,0)</f>
        <v>0</v>
      </c>
      <c r="R39" s="46">
        <f t="shared" si="43"/>
        <v>0</v>
      </c>
      <c r="S39" s="46">
        <f t="shared" si="43"/>
        <v>0</v>
      </c>
      <c r="T39" s="44">
        <f t="shared" si="7"/>
        <v>0</v>
      </c>
      <c r="U39" s="44">
        <f t="shared" si="8"/>
        <v>0</v>
      </c>
      <c r="V39" s="44">
        <f t="shared" si="9"/>
        <v>0</v>
      </c>
      <c r="W39" s="1"/>
      <c r="X39" s="1"/>
      <c r="Y39" s="1"/>
      <c r="Z39" s="1"/>
    </row>
    <row r="40" spans="1:2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"/>
      <c r="C43" s="11" t="s">
        <v>6</v>
      </c>
      <c r="D43" s="11" t="s">
        <v>6</v>
      </c>
      <c r="E43" s="11" t="s">
        <v>6</v>
      </c>
      <c r="F43" s="11" t="s">
        <v>6</v>
      </c>
      <c r="G43" s="12" t="s">
        <v>7</v>
      </c>
      <c r="H43" s="11"/>
      <c r="I43" s="12" t="s">
        <v>7</v>
      </c>
      <c r="J43" s="12" t="s">
        <v>7</v>
      </c>
      <c r="K43" s="12" t="s">
        <v>7</v>
      </c>
      <c r="L43" s="12" t="s">
        <v>7</v>
      </c>
      <c r="M43" s="11" t="s">
        <v>6</v>
      </c>
      <c r="N43" s="11" t="s">
        <v>6</v>
      </c>
      <c r="O43" s="11" t="s">
        <v>6</v>
      </c>
      <c r="P43" s="11" t="s">
        <v>6</v>
      </c>
      <c r="Q43" s="12" t="s">
        <v>7</v>
      </c>
      <c r="R43" s="12" t="s">
        <v>7</v>
      </c>
      <c r="S43" s="12" t="s">
        <v>7</v>
      </c>
      <c r="T43" s="12" t="s">
        <v>7</v>
      </c>
      <c r="U43" s="12" t="s">
        <v>7</v>
      </c>
      <c r="V43" s="12" t="s">
        <v>7</v>
      </c>
      <c r="W43" s="1"/>
      <c r="X43" s="1"/>
      <c r="Y43" s="1"/>
      <c r="Z43" s="1"/>
    </row>
    <row r="44" spans="1:26" ht="25.5" customHeight="1" x14ac:dyDescent="0.35">
      <c r="A44" s="1"/>
      <c r="B44" s="2" t="s">
        <v>8</v>
      </c>
      <c r="C44" s="13"/>
      <c r="D44" s="14" t="s">
        <v>9</v>
      </c>
      <c r="E44" s="15" t="s">
        <v>10</v>
      </c>
      <c r="F44" s="15" t="s">
        <v>11</v>
      </c>
      <c r="G44" s="15" t="s">
        <v>12</v>
      </c>
      <c r="H44" s="15" t="s">
        <v>13</v>
      </c>
      <c r="I44" s="15" t="s">
        <v>14</v>
      </c>
      <c r="J44" s="15" t="s">
        <v>15</v>
      </c>
      <c r="K44" s="15" t="s">
        <v>16</v>
      </c>
      <c r="L44" s="15" t="s">
        <v>17</v>
      </c>
      <c r="M44" s="15" t="s">
        <v>18</v>
      </c>
      <c r="N44" s="15" t="s">
        <v>19</v>
      </c>
      <c r="O44" s="15" t="s">
        <v>20</v>
      </c>
      <c r="P44" s="15" t="s">
        <v>21</v>
      </c>
      <c r="Q44" s="15" t="s">
        <v>22</v>
      </c>
      <c r="R44" s="15" t="s">
        <v>23</v>
      </c>
      <c r="S44" s="15" t="s">
        <v>24</v>
      </c>
      <c r="T44" s="15" t="s">
        <v>25</v>
      </c>
      <c r="U44" s="15" t="s">
        <v>26</v>
      </c>
      <c r="V44" s="15" t="s">
        <v>27</v>
      </c>
      <c r="W44" s="1"/>
      <c r="X44" s="1"/>
      <c r="Y44" s="1"/>
      <c r="Z44" s="1"/>
    </row>
    <row r="45" spans="1:26" x14ac:dyDescent="0.35">
      <c r="A45" s="1"/>
      <c r="B45" s="16"/>
      <c r="C45" s="17"/>
      <c r="D45" s="17">
        <f t="shared" ref="D45:F45" si="44">SUM(D46:D76)</f>
        <v>0</v>
      </c>
      <c r="E45" s="18">
        <f t="shared" si="44"/>
        <v>0</v>
      </c>
      <c r="F45" s="18">
        <f t="shared" si="44"/>
        <v>0</v>
      </c>
      <c r="G45" s="19">
        <f t="shared" ref="G45:G77" si="45">IFERROR(E45/F45,0)</f>
        <v>0</v>
      </c>
      <c r="H45" s="18"/>
      <c r="I45" s="20">
        <f t="shared" ref="I45:I77" si="46">IFERROR(E45/D45,0)</f>
        <v>0</v>
      </c>
      <c r="J45" s="20">
        <f t="shared" ref="J45:J77" si="47">IFERROR(K45/D45,0)</f>
        <v>0</v>
      </c>
      <c r="K45" s="18">
        <f>SUM(K46:K49)</f>
        <v>0</v>
      </c>
      <c r="L45" s="21">
        <f t="shared" ref="L45:L77" si="48">K45-D45</f>
        <v>0</v>
      </c>
      <c r="M45" s="18">
        <f t="shared" ref="M45:P45" si="49">SUM(M46:M76)</f>
        <v>267</v>
      </c>
      <c r="N45" s="18">
        <f t="shared" si="49"/>
        <v>57</v>
      </c>
      <c r="O45" s="18">
        <f t="shared" si="49"/>
        <v>32</v>
      </c>
      <c r="P45" s="18">
        <f t="shared" si="49"/>
        <v>4</v>
      </c>
      <c r="Q45" s="20">
        <f t="shared" ref="Q45:S45" si="50">IFERROR(N45/M45,0)</f>
        <v>0.21348314606741572</v>
      </c>
      <c r="R45" s="20">
        <f t="shared" si="50"/>
        <v>0.56140350877192979</v>
      </c>
      <c r="S45" s="20">
        <f t="shared" si="50"/>
        <v>0.125</v>
      </c>
      <c r="T45" s="18">
        <f t="shared" ref="T45:T77" si="51">IFERROR(M45/F45,0)</f>
        <v>0</v>
      </c>
      <c r="U45" s="18">
        <f t="shared" ref="U45:U77" si="52">IFERROR(N45/F45,0)</f>
        <v>0</v>
      </c>
      <c r="V45" s="18">
        <f t="shared" ref="V45:V77" si="53">IFERROR(O45/F45,0)</f>
        <v>0</v>
      </c>
      <c r="W45" s="1"/>
      <c r="X45" s="1"/>
      <c r="Y45" s="1"/>
      <c r="Z45" s="1"/>
    </row>
    <row r="46" spans="1:26" x14ac:dyDescent="0.35">
      <c r="A46" s="1"/>
      <c r="B46" s="22"/>
      <c r="C46" s="23">
        <v>46054</v>
      </c>
      <c r="D46" s="24"/>
      <c r="E46" s="25"/>
      <c r="F46" s="25"/>
      <c r="G46" s="26">
        <f t="shared" si="45"/>
        <v>0</v>
      </c>
      <c r="H46" s="25"/>
      <c r="I46" s="27">
        <f t="shared" si="46"/>
        <v>0</v>
      </c>
      <c r="J46" s="27">
        <f t="shared" si="47"/>
        <v>0</v>
      </c>
      <c r="K46" s="25"/>
      <c r="L46" s="28">
        <f t="shared" si="48"/>
        <v>0</v>
      </c>
      <c r="M46" s="25"/>
      <c r="N46" s="25"/>
      <c r="O46" s="25"/>
      <c r="P46" s="25"/>
      <c r="Q46" s="27">
        <f t="shared" ref="Q46:S46" si="54">IFERROR(N46/M46,0)</f>
        <v>0</v>
      </c>
      <c r="R46" s="27">
        <f t="shared" si="54"/>
        <v>0</v>
      </c>
      <c r="S46" s="27">
        <f t="shared" si="54"/>
        <v>0</v>
      </c>
      <c r="T46" s="25">
        <f t="shared" si="51"/>
        <v>0</v>
      </c>
      <c r="U46" s="25">
        <f t="shared" si="52"/>
        <v>0</v>
      </c>
      <c r="V46" s="25">
        <f t="shared" si="53"/>
        <v>0</v>
      </c>
      <c r="W46" s="1"/>
      <c r="X46" s="1"/>
      <c r="Y46" s="1"/>
      <c r="Z46" s="1"/>
    </row>
    <row r="47" spans="1:26" x14ac:dyDescent="0.35">
      <c r="A47" s="1"/>
      <c r="B47" s="22"/>
      <c r="C47" s="29">
        <v>46055</v>
      </c>
      <c r="D47" s="30"/>
      <c r="E47" s="31"/>
      <c r="F47" s="31"/>
      <c r="G47" s="32">
        <f t="shared" si="45"/>
        <v>0</v>
      </c>
      <c r="H47" s="31"/>
      <c r="I47" s="33">
        <f t="shared" si="46"/>
        <v>0</v>
      </c>
      <c r="J47" s="33">
        <f t="shared" si="47"/>
        <v>0</v>
      </c>
      <c r="K47" s="31"/>
      <c r="L47" s="34">
        <f t="shared" si="48"/>
        <v>0</v>
      </c>
      <c r="M47" s="31"/>
      <c r="N47" s="31"/>
      <c r="O47" s="31"/>
      <c r="P47" s="31"/>
      <c r="Q47" s="33">
        <f t="shared" ref="Q47:S47" si="55">IFERROR(N47/M47,0)</f>
        <v>0</v>
      </c>
      <c r="R47" s="33">
        <f t="shared" si="55"/>
        <v>0</v>
      </c>
      <c r="S47" s="33">
        <f t="shared" si="55"/>
        <v>0</v>
      </c>
      <c r="T47" s="31">
        <f t="shared" si="51"/>
        <v>0</v>
      </c>
      <c r="U47" s="31">
        <f t="shared" si="52"/>
        <v>0</v>
      </c>
      <c r="V47" s="31">
        <f t="shared" si="53"/>
        <v>0</v>
      </c>
      <c r="W47" s="1"/>
      <c r="X47" s="1"/>
      <c r="Y47" s="1"/>
      <c r="Z47" s="1"/>
    </row>
    <row r="48" spans="1:26" x14ac:dyDescent="0.35">
      <c r="A48" s="1"/>
      <c r="B48" s="22"/>
      <c r="C48" s="29">
        <v>46056</v>
      </c>
      <c r="D48" s="30"/>
      <c r="E48" s="31"/>
      <c r="F48" s="31"/>
      <c r="G48" s="32">
        <f t="shared" si="45"/>
        <v>0</v>
      </c>
      <c r="H48" s="31"/>
      <c r="I48" s="33">
        <f t="shared" si="46"/>
        <v>0</v>
      </c>
      <c r="J48" s="33">
        <f t="shared" si="47"/>
        <v>0</v>
      </c>
      <c r="K48" s="31"/>
      <c r="L48" s="34">
        <f t="shared" si="48"/>
        <v>0</v>
      </c>
      <c r="M48" s="31">
        <v>81</v>
      </c>
      <c r="N48" s="31">
        <v>19</v>
      </c>
      <c r="O48" s="31">
        <v>11</v>
      </c>
      <c r="P48" s="31">
        <v>2</v>
      </c>
      <c r="Q48" s="33">
        <f t="shared" ref="Q48:S48" si="56">IFERROR(N48/M48,0)</f>
        <v>0.23456790123456789</v>
      </c>
      <c r="R48" s="33">
        <f t="shared" si="56"/>
        <v>0.57894736842105265</v>
      </c>
      <c r="S48" s="33">
        <f t="shared" si="56"/>
        <v>0.18181818181818182</v>
      </c>
      <c r="T48" s="31">
        <f t="shared" si="51"/>
        <v>0</v>
      </c>
      <c r="U48" s="31">
        <f t="shared" si="52"/>
        <v>0</v>
      </c>
      <c r="V48" s="31">
        <f t="shared" si="53"/>
        <v>0</v>
      </c>
      <c r="W48" s="1"/>
      <c r="X48" s="1"/>
      <c r="Y48" s="1"/>
      <c r="Z48" s="1"/>
    </row>
    <row r="49" spans="1:26" x14ac:dyDescent="0.35">
      <c r="A49" s="1"/>
      <c r="B49" s="22"/>
      <c r="C49" s="29">
        <v>46057</v>
      </c>
      <c r="D49" s="30"/>
      <c r="E49" s="31"/>
      <c r="F49" s="31"/>
      <c r="G49" s="32">
        <f t="shared" si="45"/>
        <v>0</v>
      </c>
      <c r="H49" s="31"/>
      <c r="I49" s="33">
        <f t="shared" si="46"/>
        <v>0</v>
      </c>
      <c r="J49" s="33">
        <f t="shared" si="47"/>
        <v>0</v>
      </c>
      <c r="K49" s="31"/>
      <c r="L49" s="34">
        <f t="shared" si="48"/>
        <v>0</v>
      </c>
      <c r="M49" s="31">
        <v>98</v>
      </c>
      <c r="N49" s="31">
        <v>23</v>
      </c>
      <c r="O49" s="31">
        <v>12</v>
      </c>
      <c r="P49" s="31">
        <v>1</v>
      </c>
      <c r="Q49" s="33">
        <f t="shared" ref="Q49:S49" si="57">IFERROR(N49/M49,0)</f>
        <v>0.23469387755102042</v>
      </c>
      <c r="R49" s="33">
        <f t="shared" si="57"/>
        <v>0.52173913043478259</v>
      </c>
      <c r="S49" s="33">
        <f t="shared" si="57"/>
        <v>8.3333333333333329E-2</v>
      </c>
      <c r="T49" s="31">
        <f t="shared" si="51"/>
        <v>0</v>
      </c>
      <c r="U49" s="31">
        <f t="shared" si="52"/>
        <v>0</v>
      </c>
      <c r="V49" s="31">
        <f t="shared" si="53"/>
        <v>0</v>
      </c>
      <c r="W49" s="1"/>
      <c r="X49" s="1"/>
      <c r="Y49" s="1"/>
      <c r="Z49" s="1"/>
    </row>
    <row r="50" spans="1:26" x14ac:dyDescent="0.35">
      <c r="A50" s="1"/>
      <c r="B50" s="22"/>
      <c r="C50" s="29">
        <v>46058</v>
      </c>
      <c r="D50" s="30"/>
      <c r="E50" s="31"/>
      <c r="F50" s="31"/>
      <c r="G50" s="32">
        <f t="shared" si="45"/>
        <v>0</v>
      </c>
      <c r="H50" s="31"/>
      <c r="I50" s="33">
        <f t="shared" si="46"/>
        <v>0</v>
      </c>
      <c r="J50" s="33">
        <f t="shared" si="47"/>
        <v>0</v>
      </c>
      <c r="K50" s="31"/>
      <c r="L50" s="34">
        <f t="shared" si="48"/>
        <v>0</v>
      </c>
      <c r="M50" s="31">
        <v>88</v>
      </c>
      <c r="N50" s="31">
        <v>15</v>
      </c>
      <c r="O50" s="31">
        <v>9</v>
      </c>
      <c r="P50" s="31">
        <v>1</v>
      </c>
      <c r="Q50" s="33">
        <f t="shared" ref="Q50:S50" si="58">IFERROR(N50/M50,0)</f>
        <v>0.17045454545454544</v>
      </c>
      <c r="R50" s="33">
        <f t="shared" si="58"/>
        <v>0.6</v>
      </c>
      <c r="S50" s="33">
        <f t="shared" si="58"/>
        <v>0.1111111111111111</v>
      </c>
      <c r="T50" s="31">
        <f t="shared" si="51"/>
        <v>0</v>
      </c>
      <c r="U50" s="31">
        <f t="shared" si="52"/>
        <v>0</v>
      </c>
      <c r="V50" s="31">
        <f t="shared" si="53"/>
        <v>0</v>
      </c>
      <c r="W50" s="1"/>
      <c r="X50" s="1"/>
      <c r="Y50" s="1"/>
      <c r="Z50" s="1"/>
    </row>
    <row r="51" spans="1:26" x14ac:dyDescent="0.35">
      <c r="A51" s="1"/>
      <c r="B51" s="22"/>
      <c r="C51" s="29">
        <v>46059</v>
      </c>
      <c r="D51" s="30"/>
      <c r="E51" s="31"/>
      <c r="F51" s="31"/>
      <c r="G51" s="32">
        <f t="shared" si="45"/>
        <v>0</v>
      </c>
      <c r="H51" s="31"/>
      <c r="I51" s="33">
        <f t="shared" si="46"/>
        <v>0</v>
      </c>
      <c r="J51" s="33">
        <f t="shared" si="47"/>
        <v>0</v>
      </c>
      <c r="K51" s="31"/>
      <c r="L51" s="34">
        <f t="shared" si="48"/>
        <v>0</v>
      </c>
      <c r="M51" s="31"/>
      <c r="N51" s="31"/>
      <c r="O51" s="31"/>
      <c r="P51" s="31"/>
      <c r="Q51" s="33">
        <f t="shared" ref="Q51:S51" si="59">IFERROR(N51/M51,0)</f>
        <v>0</v>
      </c>
      <c r="R51" s="33">
        <f t="shared" si="59"/>
        <v>0</v>
      </c>
      <c r="S51" s="33">
        <f t="shared" si="59"/>
        <v>0</v>
      </c>
      <c r="T51" s="31">
        <f t="shared" si="51"/>
        <v>0</v>
      </c>
      <c r="U51" s="31">
        <f t="shared" si="52"/>
        <v>0</v>
      </c>
      <c r="V51" s="31">
        <f t="shared" si="53"/>
        <v>0</v>
      </c>
      <c r="W51" s="1"/>
      <c r="X51" s="1"/>
      <c r="Y51" s="1"/>
      <c r="Z51" s="1"/>
    </row>
    <row r="52" spans="1:26" x14ac:dyDescent="0.35">
      <c r="A52" s="1"/>
      <c r="B52" s="22"/>
      <c r="C52" s="29">
        <v>46060</v>
      </c>
      <c r="D52" s="30"/>
      <c r="E52" s="31"/>
      <c r="F52" s="31"/>
      <c r="G52" s="32">
        <f t="shared" si="45"/>
        <v>0</v>
      </c>
      <c r="H52" s="31"/>
      <c r="I52" s="33">
        <f t="shared" si="46"/>
        <v>0</v>
      </c>
      <c r="J52" s="33">
        <f t="shared" si="47"/>
        <v>0</v>
      </c>
      <c r="K52" s="31"/>
      <c r="L52" s="34">
        <f t="shared" si="48"/>
        <v>0</v>
      </c>
      <c r="M52" s="31"/>
      <c r="N52" s="31"/>
      <c r="O52" s="31"/>
      <c r="P52" s="31"/>
      <c r="Q52" s="33">
        <f t="shared" ref="Q52:S52" si="60">IFERROR(N52/M52,0)</f>
        <v>0</v>
      </c>
      <c r="R52" s="33">
        <f t="shared" si="60"/>
        <v>0</v>
      </c>
      <c r="S52" s="33">
        <f t="shared" si="60"/>
        <v>0</v>
      </c>
      <c r="T52" s="31">
        <f t="shared" si="51"/>
        <v>0</v>
      </c>
      <c r="U52" s="31">
        <f t="shared" si="52"/>
        <v>0</v>
      </c>
      <c r="V52" s="31">
        <f t="shared" si="53"/>
        <v>0</v>
      </c>
      <c r="W52" s="1"/>
      <c r="X52" s="1"/>
      <c r="Y52" s="1"/>
      <c r="Z52" s="1"/>
    </row>
    <row r="53" spans="1:26" x14ac:dyDescent="0.35">
      <c r="A53" s="1"/>
      <c r="B53" s="35"/>
      <c r="C53" s="29">
        <v>46061</v>
      </c>
      <c r="D53" s="30"/>
      <c r="E53" s="31"/>
      <c r="F53" s="31"/>
      <c r="G53" s="32">
        <f t="shared" si="45"/>
        <v>0</v>
      </c>
      <c r="H53" s="31"/>
      <c r="I53" s="33">
        <f t="shared" si="46"/>
        <v>0</v>
      </c>
      <c r="J53" s="33">
        <f t="shared" si="47"/>
        <v>0</v>
      </c>
      <c r="K53" s="31"/>
      <c r="L53" s="34">
        <f t="shared" si="48"/>
        <v>0</v>
      </c>
      <c r="M53" s="31"/>
      <c r="N53" s="31"/>
      <c r="O53" s="31"/>
      <c r="P53" s="31"/>
      <c r="Q53" s="33">
        <f t="shared" ref="Q53:S53" si="61">IFERROR(N53/M53,0)</f>
        <v>0</v>
      </c>
      <c r="R53" s="33">
        <f t="shared" si="61"/>
        <v>0</v>
      </c>
      <c r="S53" s="33">
        <f t="shared" si="61"/>
        <v>0</v>
      </c>
      <c r="T53" s="31">
        <f t="shared" si="51"/>
        <v>0</v>
      </c>
      <c r="U53" s="31">
        <f t="shared" si="52"/>
        <v>0</v>
      </c>
      <c r="V53" s="31">
        <f t="shared" si="53"/>
        <v>0</v>
      </c>
      <c r="W53" s="1"/>
      <c r="X53" s="1"/>
      <c r="Y53" s="1"/>
      <c r="Z53" s="1"/>
    </row>
    <row r="54" spans="1:26" x14ac:dyDescent="0.35">
      <c r="A54" s="1"/>
      <c r="B54" s="35"/>
      <c r="C54" s="29">
        <v>46062</v>
      </c>
      <c r="D54" s="30"/>
      <c r="E54" s="31"/>
      <c r="F54" s="31"/>
      <c r="G54" s="32">
        <f t="shared" si="45"/>
        <v>0</v>
      </c>
      <c r="H54" s="31"/>
      <c r="I54" s="33">
        <f t="shared" si="46"/>
        <v>0</v>
      </c>
      <c r="J54" s="33">
        <f t="shared" si="47"/>
        <v>0</v>
      </c>
      <c r="K54" s="31"/>
      <c r="L54" s="34">
        <f t="shared" si="48"/>
        <v>0</v>
      </c>
      <c r="M54" s="31"/>
      <c r="N54" s="31"/>
      <c r="O54" s="31"/>
      <c r="P54" s="31"/>
      <c r="Q54" s="33">
        <f t="shared" ref="Q54:S54" si="62">IFERROR(N54/M54,0)</f>
        <v>0</v>
      </c>
      <c r="R54" s="33">
        <f t="shared" si="62"/>
        <v>0</v>
      </c>
      <c r="S54" s="33">
        <f t="shared" si="62"/>
        <v>0</v>
      </c>
      <c r="T54" s="31">
        <f t="shared" si="51"/>
        <v>0</v>
      </c>
      <c r="U54" s="31">
        <f t="shared" si="52"/>
        <v>0</v>
      </c>
      <c r="V54" s="31">
        <f t="shared" si="53"/>
        <v>0</v>
      </c>
      <c r="W54" s="1"/>
      <c r="X54" s="1"/>
      <c r="Y54" s="1"/>
      <c r="Z54" s="1"/>
    </row>
    <row r="55" spans="1:26" x14ac:dyDescent="0.35">
      <c r="A55" s="1"/>
      <c r="B55" s="35"/>
      <c r="C55" s="29">
        <v>46063</v>
      </c>
      <c r="D55" s="30"/>
      <c r="E55" s="31"/>
      <c r="F55" s="31"/>
      <c r="G55" s="32">
        <f t="shared" si="45"/>
        <v>0</v>
      </c>
      <c r="H55" s="31"/>
      <c r="I55" s="33">
        <f t="shared" si="46"/>
        <v>0</v>
      </c>
      <c r="J55" s="33">
        <f t="shared" si="47"/>
        <v>0</v>
      </c>
      <c r="K55" s="31"/>
      <c r="L55" s="34">
        <f t="shared" si="48"/>
        <v>0</v>
      </c>
      <c r="M55" s="31"/>
      <c r="N55" s="31"/>
      <c r="O55" s="31"/>
      <c r="P55" s="31"/>
      <c r="Q55" s="33">
        <f t="shared" ref="Q55:S55" si="63">IFERROR(N55/M55,0)</f>
        <v>0</v>
      </c>
      <c r="R55" s="33">
        <f t="shared" si="63"/>
        <v>0</v>
      </c>
      <c r="S55" s="33">
        <f t="shared" si="63"/>
        <v>0</v>
      </c>
      <c r="T55" s="31">
        <f t="shared" si="51"/>
        <v>0</v>
      </c>
      <c r="U55" s="31">
        <f t="shared" si="52"/>
        <v>0</v>
      </c>
      <c r="V55" s="31">
        <f t="shared" si="53"/>
        <v>0</v>
      </c>
      <c r="W55" s="1"/>
      <c r="X55" s="1"/>
      <c r="Y55" s="1"/>
      <c r="Z55" s="1"/>
    </row>
    <row r="56" spans="1:26" x14ac:dyDescent="0.35">
      <c r="A56" s="1"/>
      <c r="B56" s="35"/>
      <c r="C56" s="29">
        <v>46064</v>
      </c>
      <c r="D56" s="30"/>
      <c r="E56" s="31"/>
      <c r="F56" s="31"/>
      <c r="G56" s="32">
        <f t="shared" si="45"/>
        <v>0</v>
      </c>
      <c r="H56" s="31"/>
      <c r="I56" s="33">
        <f t="shared" si="46"/>
        <v>0</v>
      </c>
      <c r="J56" s="33">
        <f t="shared" si="47"/>
        <v>0</v>
      </c>
      <c r="K56" s="31"/>
      <c r="L56" s="34">
        <f t="shared" si="48"/>
        <v>0</v>
      </c>
      <c r="M56" s="31"/>
      <c r="N56" s="31"/>
      <c r="O56" s="31"/>
      <c r="P56" s="31"/>
      <c r="Q56" s="33">
        <f t="shared" ref="Q56:S56" si="64">IFERROR(N56/M56,0)</f>
        <v>0</v>
      </c>
      <c r="R56" s="33">
        <f t="shared" si="64"/>
        <v>0</v>
      </c>
      <c r="S56" s="33">
        <f t="shared" si="64"/>
        <v>0</v>
      </c>
      <c r="T56" s="31">
        <f t="shared" si="51"/>
        <v>0</v>
      </c>
      <c r="U56" s="31">
        <f t="shared" si="52"/>
        <v>0</v>
      </c>
      <c r="V56" s="31">
        <f t="shared" si="53"/>
        <v>0</v>
      </c>
      <c r="W56" s="1"/>
      <c r="X56" s="1"/>
      <c r="Y56" s="1"/>
      <c r="Z56" s="1"/>
    </row>
    <row r="57" spans="1:26" x14ac:dyDescent="0.35">
      <c r="A57" s="1"/>
      <c r="B57" s="35"/>
      <c r="C57" s="29">
        <v>46065</v>
      </c>
      <c r="D57" s="30"/>
      <c r="E57" s="31"/>
      <c r="F57" s="31"/>
      <c r="G57" s="32">
        <f t="shared" si="45"/>
        <v>0</v>
      </c>
      <c r="H57" s="31"/>
      <c r="I57" s="33">
        <f t="shared" si="46"/>
        <v>0</v>
      </c>
      <c r="J57" s="33">
        <f t="shared" si="47"/>
        <v>0</v>
      </c>
      <c r="K57" s="31"/>
      <c r="L57" s="34">
        <f t="shared" si="48"/>
        <v>0</v>
      </c>
      <c r="M57" s="31"/>
      <c r="N57" s="31"/>
      <c r="O57" s="31"/>
      <c r="P57" s="31"/>
      <c r="Q57" s="33">
        <f t="shared" ref="Q57:S57" si="65">IFERROR(N57/M57,0)</f>
        <v>0</v>
      </c>
      <c r="R57" s="33">
        <f t="shared" si="65"/>
        <v>0</v>
      </c>
      <c r="S57" s="33">
        <f t="shared" si="65"/>
        <v>0</v>
      </c>
      <c r="T57" s="31">
        <f t="shared" si="51"/>
        <v>0</v>
      </c>
      <c r="U57" s="31">
        <f t="shared" si="52"/>
        <v>0</v>
      </c>
      <c r="V57" s="31">
        <f t="shared" si="53"/>
        <v>0</v>
      </c>
      <c r="W57" s="1"/>
      <c r="X57" s="1"/>
      <c r="Y57" s="1"/>
      <c r="Z57" s="1"/>
    </row>
    <row r="58" spans="1:26" x14ac:dyDescent="0.35">
      <c r="A58" s="1"/>
      <c r="B58" s="35"/>
      <c r="C58" s="29">
        <v>46066</v>
      </c>
      <c r="D58" s="30"/>
      <c r="E58" s="31"/>
      <c r="F58" s="31"/>
      <c r="G58" s="32">
        <f t="shared" si="45"/>
        <v>0</v>
      </c>
      <c r="H58" s="31"/>
      <c r="I58" s="33">
        <f t="shared" si="46"/>
        <v>0</v>
      </c>
      <c r="J58" s="33">
        <f t="shared" si="47"/>
        <v>0</v>
      </c>
      <c r="K58" s="31"/>
      <c r="L58" s="34">
        <f t="shared" si="48"/>
        <v>0</v>
      </c>
      <c r="M58" s="31"/>
      <c r="N58" s="31"/>
      <c r="O58" s="31"/>
      <c r="P58" s="31"/>
      <c r="Q58" s="33">
        <f t="shared" ref="Q58:S58" si="66">IFERROR(N58/M58,0)</f>
        <v>0</v>
      </c>
      <c r="R58" s="33">
        <f t="shared" si="66"/>
        <v>0</v>
      </c>
      <c r="S58" s="33">
        <f t="shared" si="66"/>
        <v>0</v>
      </c>
      <c r="T58" s="31">
        <f t="shared" si="51"/>
        <v>0</v>
      </c>
      <c r="U58" s="31">
        <f t="shared" si="52"/>
        <v>0</v>
      </c>
      <c r="V58" s="31">
        <f t="shared" si="53"/>
        <v>0</v>
      </c>
      <c r="W58" s="1"/>
      <c r="X58" s="1"/>
      <c r="Y58" s="1"/>
      <c r="Z58" s="1"/>
    </row>
    <row r="59" spans="1:26" x14ac:dyDescent="0.35">
      <c r="A59" s="1"/>
      <c r="B59" s="35"/>
      <c r="C59" s="29">
        <v>46067</v>
      </c>
      <c r="D59" s="30"/>
      <c r="E59" s="31"/>
      <c r="F59" s="31"/>
      <c r="G59" s="32">
        <f t="shared" si="45"/>
        <v>0</v>
      </c>
      <c r="H59" s="31"/>
      <c r="I59" s="33">
        <f t="shared" si="46"/>
        <v>0</v>
      </c>
      <c r="J59" s="33">
        <f t="shared" si="47"/>
        <v>0</v>
      </c>
      <c r="K59" s="31"/>
      <c r="L59" s="34">
        <f t="shared" si="48"/>
        <v>0</v>
      </c>
      <c r="M59" s="31"/>
      <c r="N59" s="31"/>
      <c r="O59" s="31"/>
      <c r="P59" s="31"/>
      <c r="Q59" s="33">
        <f t="shared" ref="Q59:S59" si="67">IFERROR(N59/M59,0)</f>
        <v>0</v>
      </c>
      <c r="R59" s="33">
        <f t="shared" si="67"/>
        <v>0</v>
      </c>
      <c r="S59" s="33">
        <f t="shared" si="67"/>
        <v>0</v>
      </c>
      <c r="T59" s="31">
        <f t="shared" si="51"/>
        <v>0</v>
      </c>
      <c r="U59" s="31">
        <f t="shared" si="52"/>
        <v>0</v>
      </c>
      <c r="V59" s="31">
        <f t="shared" si="53"/>
        <v>0</v>
      </c>
      <c r="W59" s="1"/>
      <c r="X59" s="1"/>
      <c r="Y59" s="1"/>
      <c r="Z59" s="1"/>
    </row>
    <row r="60" spans="1:26" x14ac:dyDescent="0.35">
      <c r="A60" s="1"/>
      <c r="B60" s="35"/>
      <c r="C60" s="29">
        <v>46068</v>
      </c>
      <c r="D60" s="30"/>
      <c r="E60" s="31"/>
      <c r="F60" s="31"/>
      <c r="G60" s="32">
        <f t="shared" si="45"/>
        <v>0</v>
      </c>
      <c r="H60" s="31"/>
      <c r="I60" s="33">
        <f t="shared" si="46"/>
        <v>0</v>
      </c>
      <c r="J60" s="33">
        <f t="shared" si="47"/>
        <v>0</v>
      </c>
      <c r="K60" s="31"/>
      <c r="L60" s="34">
        <f t="shared" si="48"/>
        <v>0</v>
      </c>
      <c r="M60" s="31"/>
      <c r="N60" s="31"/>
      <c r="O60" s="31"/>
      <c r="P60" s="31"/>
      <c r="Q60" s="33">
        <f t="shared" ref="Q60:S60" si="68">IFERROR(N60/M60,0)</f>
        <v>0</v>
      </c>
      <c r="R60" s="33">
        <f t="shared" si="68"/>
        <v>0</v>
      </c>
      <c r="S60" s="33">
        <f t="shared" si="68"/>
        <v>0</v>
      </c>
      <c r="T60" s="31">
        <f t="shared" si="51"/>
        <v>0</v>
      </c>
      <c r="U60" s="31">
        <f t="shared" si="52"/>
        <v>0</v>
      </c>
      <c r="V60" s="31">
        <f t="shared" si="53"/>
        <v>0</v>
      </c>
      <c r="W60" s="1"/>
      <c r="X60" s="1"/>
      <c r="Y60" s="1"/>
      <c r="Z60" s="1"/>
    </row>
    <row r="61" spans="1:26" x14ac:dyDescent="0.35">
      <c r="A61" s="1"/>
      <c r="B61" s="35"/>
      <c r="C61" s="29">
        <v>46069</v>
      </c>
      <c r="D61" s="30"/>
      <c r="E61" s="31"/>
      <c r="F61" s="31"/>
      <c r="G61" s="32">
        <f t="shared" si="45"/>
        <v>0</v>
      </c>
      <c r="H61" s="31"/>
      <c r="I61" s="33">
        <f t="shared" si="46"/>
        <v>0</v>
      </c>
      <c r="J61" s="33">
        <f t="shared" si="47"/>
        <v>0</v>
      </c>
      <c r="K61" s="31"/>
      <c r="L61" s="34">
        <f t="shared" si="48"/>
        <v>0</v>
      </c>
      <c r="M61" s="31"/>
      <c r="N61" s="31"/>
      <c r="O61" s="31"/>
      <c r="P61" s="31"/>
      <c r="Q61" s="33">
        <f t="shared" ref="Q61:S61" si="69">IFERROR(N61/M61,0)</f>
        <v>0</v>
      </c>
      <c r="R61" s="33">
        <f t="shared" si="69"/>
        <v>0</v>
      </c>
      <c r="S61" s="33">
        <f t="shared" si="69"/>
        <v>0</v>
      </c>
      <c r="T61" s="31">
        <f t="shared" si="51"/>
        <v>0</v>
      </c>
      <c r="U61" s="31">
        <f t="shared" si="52"/>
        <v>0</v>
      </c>
      <c r="V61" s="31">
        <f t="shared" si="53"/>
        <v>0</v>
      </c>
      <c r="W61" s="1"/>
      <c r="X61" s="1"/>
      <c r="Y61" s="1"/>
      <c r="Z61" s="1"/>
    </row>
    <row r="62" spans="1:26" x14ac:dyDescent="0.35">
      <c r="A62" s="1"/>
      <c r="B62" s="35"/>
      <c r="C62" s="29">
        <v>46070</v>
      </c>
      <c r="D62" s="30"/>
      <c r="E62" s="31"/>
      <c r="F62" s="31"/>
      <c r="G62" s="32">
        <f t="shared" si="45"/>
        <v>0</v>
      </c>
      <c r="H62" s="31"/>
      <c r="I62" s="33">
        <f t="shared" si="46"/>
        <v>0</v>
      </c>
      <c r="J62" s="33">
        <f t="shared" si="47"/>
        <v>0</v>
      </c>
      <c r="K62" s="31"/>
      <c r="L62" s="34">
        <f t="shared" si="48"/>
        <v>0</v>
      </c>
      <c r="M62" s="31"/>
      <c r="N62" s="31"/>
      <c r="O62" s="31"/>
      <c r="P62" s="31"/>
      <c r="Q62" s="33">
        <f t="shared" ref="Q62:S62" si="70">IFERROR(N62/M62,0)</f>
        <v>0</v>
      </c>
      <c r="R62" s="33">
        <f t="shared" si="70"/>
        <v>0</v>
      </c>
      <c r="S62" s="33">
        <f t="shared" si="70"/>
        <v>0</v>
      </c>
      <c r="T62" s="31">
        <f t="shared" si="51"/>
        <v>0</v>
      </c>
      <c r="U62" s="31">
        <f t="shared" si="52"/>
        <v>0</v>
      </c>
      <c r="V62" s="31">
        <f t="shared" si="53"/>
        <v>0</v>
      </c>
      <c r="W62" s="1"/>
      <c r="X62" s="1"/>
      <c r="Y62" s="1"/>
      <c r="Z62" s="1"/>
    </row>
    <row r="63" spans="1:26" x14ac:dyDescent="0.35">
      <c r="A63" s="1"/>
      <c r="B63" s="35"/>
      <c r="C63" s="29">
        <v>46071</v>
      </c>
      <c r="D63" s="30"/>
      <c r="E63" s="31"/>
      <c r="F63" s="31"/>
      <c r="G63" s="32">
        <f t="shared" si="45"/>
        <v>0</v>
      </c>
      <c r="H63" s="31"/>
      <c r="I63" s="33">
        <f t="shared" si="46"/>
        <v>0</v>
      </c>
      <c r="J63" s="33">
        <f t="shared" si="47"/>
        <v>0</v>
      </c>
      <c r="K63" s="31"/>
      <c r="L63" s="34">
        <f t="shared" si="48"/>
        <v>0</v>
      </c>
      <c r="M63" s="31"/>
      <c r="N63" s="31"/>
      <c r="O63" s="31"/>
      <c r="P63" s="31"/>
      <c r="Q63" s="33">
        <f t="shared" ref="Q63:S63" si="71">IFERROR(N63/M63,0)</f>
        <v>0</v>
      </c>
      <c r="R63" s="33">
        <f t="shared" si="71"/>
        <v>0</v>
      </c>
      <c r="S63" s="33">
        <f t="shared" si="71"/>
        <v>0</v>
      </c>
      <c r="T63" s="31">
        <f t="shared" si="51"/>
        <v>0</v>
      </c>
      <c r="U63" s="31">
        <f t="shared" si="52"/>
        <v>0</v>
      </c>
      <c r="V63" s="31">
        <f t="shared" si="53"/>
        <v>0</v>
      </c>
      <c r="W63" s="1"/>
      <c r="X63" s="1"/>
      <c r="Y63" s="1"/>
      <c r="Z63" s="1"/>
    </row>
    <row r="64" spans="1:26" x14ac:dyDescent="0.35">
      <c r="A64" s="1"/>
      <c r="B64" s="35"/>
      <c r="C64" s="29">
        <v>46072</v>
      </c>
      <c r="D64" s="30"/>
      <c r="E64" s="31"/>
      <c r="F64" s="31"/>
      <c r="G64" s="32">
        <f t="shared" si="45"/>
        <v>0</v>
      </c>
      <c r="H64" s="31"/>
      <c r="I64" s="33">
        <f t="shared" si="46"/>
        <v>0</v>
      </c>
      <c r="J64" s="33">
        <f t="shared" si="47"/>
        <v>0</v>
      </c>
      <c r="K64" s="31"/>
      <c r="L64" s="34">
        <f t="shared" si="48"/>
        <v>0</v>
      </c>
      <c r="M64" s="31"/>
      <c r="N64" s="31"/>
      <c r="O64" s="31"/>
      <c r="P64" s="31"/>
      <c r="Q64" s="33">
        <f t="shared" ref="Q64:S64" si="72">IFERROR(N64/M64,0)</f>
        <v>0</v>
      </c>
      <c r="R64" s="33">
        <f t="shared" si="72"/>
        <v>0</v>
      </c>
      <c r="S64" s="33">
        <f t="shared" si="72"/>
        <v>0</v>
      </c>
      <c r="T64" s="31">
        <f t="shared" si="51"/>
        <v>0</v>
      </c>
      <c r="U64" s="31">
        <f t="shared" si="52"/>
        <v>0</v>
      </c>
      <c r="V64" s="31">
        <f t="shared" si="53"/>
        <v>0</v>
      </c>
      <c r="W64" s="1"/>
      <c r="X64" s="1"/>
      <c r="Y64" s="1"/>
      <c r="Z64" s="1"/>
    </row>
    <row r="65" spans="1:26" x14ac:dyDescent="0.35">
      <c r="A65" s="1"/>
      <c r="B65" s="35"/>
      <c r="C65" s="29">
        <v>46073</v>
      </c>
      <c r="D65" s="30"/>
      <c r="E65" s="31"/>
      <c r="F65" s="31"/>
      <c r="G65" s="32">
        <f t="shared" si="45"/>
        <v>0</v>
      </c>
      <c r="H65" s="31"/>
      <c r="I65" s="33">
        <f t="shared" si="46"/>
        <v>0</v>
      </c>
      <c r="J65" s="33">
        <f t="shared" si="47"/>
        <v>0</v>
      </c>
      <c r="K65" s="31"/>
      <c r="L65" s="34">
        <f t="shared" si="48"/>
        <v>0</v>
      </c>
      <c r="M65" s="31"/>
      <c r="N65" s="31"/>
      <c r="O65" s="31"/>
      <c r="P65" s="31"/>
      <c r="Q65" s="33">
        <f t="shared" ref="Q65:S65" si="73">IFERROR(N65/M65,0)</f>
        <v>0</v>
      </c>
      <c r="R65" s="33">
        <f t="shared" si="73"/>
        <v>0</v>
      </c>
      <c r="S65" s="33">
        <f t="shared" si="73"/>
        <v>0</v>
      </c>
      <c r="T65" s="31">
        <f t="shared" si="51"/>
        <v>0</v>
      </c>
      <c r="U65" s="31">
        <f t="shared" si="52"/>
        <v>0</v>
      </c>
      <c r="V65" s="31">
        <f t="shared" si="53"/>
        <v>0</v>
      </c>
      <c r="W65" s="1"/>
      <c r="X65" s="1"/>
      <c r="Y65" s="1"/>
      <c r="Z65" s="1"/>
    </row>
    <row r="66" spans="1:26" x14ac:dyDescent="0.35">
      <c r="A66" s="1"/>
      <c r="B66" s="35"/>
      <c r="C66" s="29">
        <v>46074</v>
      </c>
      <c r="D66" s="30"/>
      <c r="E66" s="31"/>
      <c r="F66" s="31"/>
      <c r="G66" s="32">
        <f t="shared" si="45"/>
        <v>0</v>
      </c>
      <c r="H66" s="31"/>
      <c r="I66" s="33">
        <f t="shared" si="46"/>
        <v>0</v>
      </c>
      <c r="J66" s="33">
        <f t="shared" si="47"/>
        <v>0</v>
      </c>
      <c r="K66" s="31"/>
      <c r="L66" s="34">
        <f t="shared" si="48"/>
        <v>0</v>
      </c>
      <c r="M66" s="31"/>
      <c r="N66" s="31"/>
      <c r="O66" s="31"/>
      <c r="P66" s="31"/>
      <c r="Q66" s="33">
        <f t="shared" ref="Q66:S66" si="74">IFERROR(N66/M66,0)</f>
        <v>0</v>
      </c>
      <c r="R66" s="33">
        <f t="shared" si="74"/>
        <v>0</v>
      </c>
      <c r="S66" s="33">
        <f t="shared" si="74"/>
        <v>0</v>
      </c>
      <c r="T66" s="31">
        <f t="shared" si="51"/>
        <v>0</v>
      </c>
      <c r="U66" s="31">
        <f t="shared" si="52"/>
        <v>0</v>
      </c>
      <c r="V66" s="31">
        <f t="shared" si="53"/>
        <v>0</v>
      </c>
      <c r="W66" s="1"/>
      <c r="X66" s="1"/>
      <c r="Y66" s="1"/>
      <c r="Z66" s="1"/>
    </row>
    <row r="67" spans="1:26" x14ac:dyDescent="0.35">
      <c r="A67" s="1"/>
      <c r="B67" s="35"/>
      <c r="C67" s="29">
        <v>46075</v>
      </c>
      <c r="D67" s="30"/>
      <c r="E67" s="31"/>
      <c r="F67" s="31"/>
      <c r="G67" s="32">
        <f t="shared" si="45"/>
        <v>0</v>
      </c>
      <c r="H67" s="31"/>
      <c r="I67" s="33">
        <f t="shared" si="46"/>
        <v>0</v>
      </c>
      <c r="J67" s="33">
        <f t="shared" si="47"/>
        <v>0</v>
      </c>
      <c r="K67" s="31"/>
      <c r="L67" s="34">
        <f t="shared" si="48"/>
        <v>0</v>
      </c>
      <c r="M67" s="31"/>
      <c r="N67" s="31"/>
      <c r="O67" s="31"/>
      <c r="P67" s="31"/>
      <c r="Q67" s="33">
        <f t="shared" ref="Q67:S67" si="75">IFERROR(N67/M67,0)</f>
        <v>0</v>
      </c>
      <c r="R67" s="33">
        <f t="shared" si="75"/>
        <v>0</v>
      </c>
      <c r="S67" s="33">
        <f t="shared" si="75"/>
        <v>0</v>
      </c>
      <c r="T67" s="31">
        <f t="shared" si="51"/>
        <v>0</v>
      </c>
      <c r="U67" s="31">
        <f t="shared" si="52"/>
        <v>0</v>
      </c>
      <c r="V67" s="31">
        <f t="shared" si="53"/>
        <v>0</v>
      </c>
      <c r="W67" s="1"/>
      <c r="X67" s="1"/>
      <c r="Y67" s="1"/>
      <c r="Z67" s="1"/>
    </row>
    <row r="68" spans="1:26" x14ac:dyDescent="0.35">
      <c r="A68" s="1"/>
      <c r="B68" s="35"/>
      <c r="C68" s="29">
        <v>46076</v>
      </c>
      <c r="D68" s="30"/>
      <c r="E68" s="31"/>
      <c r="F68" s="31"/>
      <c r="G68" s="32">
        <f t="shared" si="45"/>
        <v>0</v>
      </c>
      <c r="H68" s="31"/>
      <c r="I68" s="33">
        <f t="shared" si="46"/>
        <v>0</v>
      </c>
      <c r="J68" s="33">
        <f t="shared" si="47"/>
        <v>0</v>
      </c>
      <c r="K68" s="31"/>
      <c r="L68" s="34">
        <f t="shared" si="48"/>
        <v>0</v>
      </c>
      <c r="M68" s="31"/>
      <c r="N68" s="31"/>
      <c r="O68" s="31"/>
      <c r="P68" s="31"/>
      <c r="Q68" s="33">
        <f t="shared" ref="Q68:S68" si="76">IFERROR(N68/M68,0)</f>
        <v>0</v>
      </c>
      <c r="R68" s="33">
        <f t="shared" si="76"/>
        <v>0</v>
      </c>
      <c r="S68" s="33">
        <f t="shared" si="76"/>
        <v>0</v>
      </c>
      <c r="T68" s="31">
        <f t="shared" si="51"/>
        <v>0</v>
      </c>
      <c r="U68" s="31">
        <f t="shared" si="52"/>
        <v>0</v>
      </c>
      <c r="V68" s="31">
        <f t="shared" si="53"/>
        <v>0</v>
      </c>
      <c r="W68" s="1"/>
      <c r="X68" s="1"/>
      <c r="Y68" s="1"/>
      <c r="Z68" s="1"/>
    </row>
    <row r="69" spans="1:26" x14ac:dyDescent="0.35">
      <c r="A69" s="1"/>
      <c r="B69" s="35"/>
      <c r="C69" s="29">
        <v>46077</v>
      </c>
      <c r="D69" s="30"/>
      <c r="E69" s="31"/>
      <c r="F69" s="31"/>
      <c r="G69" s="32">
        <f t="shared" si="45"/>
        <v>0</v>
      </c>
      <c r="H69" s="31"/>
      <c r="I69" s="33">
        <f t="shared" si="46"/>
        <v>0</v>
      </c>
      <c r="J69" s="33">
        <f t="shared" si="47"/>
        <v>0</v>
      </c>
      <c r="K69" s="31"/>
      <c r="L69" s="34">
        <f t="shared" si="48"/>
        <v>0</v>
      </c>
      <c r="M69" s="31"/>
      <c r="N69" s="31"/>
      <c r="O69" s="31"/>
      <c r="P69" s="31"/>
      <c r="Q69" s="33">
        <f t="shared" ref="Q69:S69" si="77">IFERROR(N69/M69,0)</f>
        <v>0</v>
      </c>
      <c r="R69" s="33">
        <f t="shared" si="77"/>
        <v>0</v>
      </c>
      <c r="S69" s="33">
        <f t="shared" si="77"/>
        <v>0</v>
      </c>
      <c r="T69" s="31">
        <f t="shared" si="51"/>
        <v>0</v>
      </c>
      <c r="U69" s="31">
        <f t="shared" si="52"/>
        <v>0</v>
      </c>
      <c r="V69" s="31">
        <f t="shared" si="53"/>
        <v>0</v>
      </c>
      <c r="W69" s="1"/>
      <c r="X69" s="1"/>
      <c r="Y69" s="1"/>
      <c r="Z69" s="1"/>
    </row>
    <row r="70" spans="1:26" x14ac:dyDescent="0.35">
      <c r="A70" s="1"/>
      <c r="B70" s="35"/>
      <c r="C70" s="29">
        <v>46078</v>
      </c>
      <c r="D70" s="30"/>
      <c r="E70" s="31"/>
      <c r="F70" s="31"/>
      <c r="G70" s="32">
        <f t="shared" si="45"/>
        <v>0</v>
      </c>
      <c r="H70" s="31"/>
      <c r="I70" s="33">
        <f t="shared" si="46"/>
        <v>0</v>
      </c>
      <c r="J70" s="33">
        <f t="shared" si="47"/>
        <v>0</v>
      </c>
      <c r="K70" s="31"/>
      <c r="L70" s="34">
        <f t="shared" si="48"/>
        <v>0</v>
      </c>
      <c r="M70" s="31"/>
      <c r="N70" s="31"/>
      <c r="O70" s="31"/>
      <c r="P70" s="31"/>
      <c r="Q70" s="33">
        <f t="shared" ref="Q70:S70" si="78">IFERROR(N70/M70,0)</f>
        <v>0</v>
      </c>
      <c r="R70" s="33">
        <f t="shared" si="78"/>
        <v>0</v>
      </c>
      <c r="S70" s="33">
        <f t="shared" si="78"/>
        <v>0</v>
      </c>
      <c r="T70" s="31">
        <f t="shared" si="51"/>
        <v>0</v>
      </c>
      <c r="U70" s="31">
        <f t="shared" si="52"/>
        <v>0</v>
      </c>
      <c r="V70" s="31">
        <f t="shared" si="53"/>
        <v>0</v>
      </c>
      <c r="W70" s="1"/>
      <c r="X70" s="1"/>
      <c r="Y70" s="1"/>
      <c r="Z70" s="1"/>
    </row>
    <row r="71" spans="1:26" x14ac:dyDescent="0.35">
      <c r="A71" s="1"/>
      <c r="B71" s="35"/>
      <c r="C71" s="29">
        <v>46079</v>
      </c>
      <c r="D71" s="30"/>
      <c r="E71" s="31"/>
      <c r="F71" s="31"/>
      <c r="G71" s="32">
        <f t="shared" si="45"/>
        <v>0</v>
      </c>
      <c r="H71" s="31"/>
      <c r="I71" s="33">
        <f t="shared" si="46"/>
        <v>0</v>
      </c>
      <c r="J71" s="33">
        <f t="shared" si="47"/>
        <v>0</v>
      </c>
      <c r="K71" s="31"/>
      <c r="L71" s="34">
        <f t="shared" si="48"/>
        <v>0</v>
      </c>
      <c r="M71" s="31"/>
      <c r="N71" s="31"/>
      <c r="O71" s="31"/>
      <c r="P71" s="31"/>
      <c r="Q71" s="33">
        <f t="shared" ref="Q71:S71" si="79">IFERROR(N71/M71,0)</f>
        <v>0</v>
      </c>
      <c r="R71" s="33">
        <f t="shared" si="79"/>
        <v>0</v>
      </c>
      <c r="S71" s="33">
        <f t="shared" si="79"/>
        <v>0</v>
      </c>
      <c r="T71" s="31">
        <f t="shared" si="51"/>
        <v>0</v>
      </c>
      <c r="U71" s="31">
        <f t="shared" si="52"/>
        <v>0</v>
      </c>
      <c r="V71" s="31">
        <f t="shared" si="53"/>
        <v>0</v>
      </c>
      <c r="W71" s="1"/>
      <c r="X71" s="1"/>
      <c r="Y71" s="1"/>
      <c r="Z71" s="1"/>
    </row>
    <row r="72" spans="1:26" x14ac:dyDescent="0.35">
      <c r="A72" s="1"/>
      <c r="B72" s="35"/>
      <c r="C72" s="29">
        <v>46080</v>
      </c>
      <c r="D72" s="30"/>
      <c r="E72" s="31"/>
      <c r="F72" s="31"/>
      <c r="G72" s="32">
        <f t="shared" si="45"/>
        <v>0</v>
      </c>
      <c r="H72" s="31"/>
      <c r="I72" s="33">
        <f t="shared" si="46"/>
        <v>0</v>
      </c>
      <c r="J72" s="33">
        <f t="shared" si="47"/>
        <v>0</v>
      </c>
      <c r="K72" s="31"/>
      <c r="L72" s="34">
        <f t="shared" si="48"/>
        <v>0</v>
      </c>
      <c r="M72" s="31"/>
      <c r="N72" s="31"/>
      <c r="O72" s="31"/>
      <c r="P72" s="31"/>
      <c r="Q72" s="33">
        <f t="shared" ref="Q72:S72" si="80">IFERROR(N72/M72,0)</f>
        <v>0</v>
      </c>
      <c r="R72" s="33">
        <f t="shared" si="80"/>
        <v>0</v>
      </c>
      <c r="S72" s="33">
        <f t="shared" si="80"/>
        <v>0</v>
      </c>
      <c r="T72" s="31">
        <f t="shared" si="51"/>
        <v>0</v>
      </c>
      <c r="U72" s="31">
        <f t="shared" si="52"/>
        <v>0</v>
      </c>
      <c r="V72" s="31">
        <f t="shared" si="53"/>
        <v>0</v>
      </c>
      <c r="W72" s="1"/>
      <c r="X72" s="1"/>
      <c r="Y72" s="1"/>
      <c r="Z72" s="1"/>
    </row>
    <row r="73" spans="1:26" x14ac:dyDescent="0.35">
      <c r="A73" s="1"/>
      <c r="B73" s="35"/>
      <c r="C73" s="29">
        <v>46081</v>
      </c>
      <c r="D73" s="30"/>
      <c r="E73" s="31"/>
      <c r="F73" s="31"/>
      <c r="G73" s="32">
        <f t="shared" si="45"/>
        <v>0</v>
      </c>
      <c r="H73" s="31"/>
      <c r="I73" s="33">
        <f t="shared" si="46"/>
        <v>0</v>
      </c>
      <c r="J73" s="33">
        <f t="shared" si="47"/>
        <v>0</v>
      </c>
      <c r="K73" s="31"/>
      <c r="L73" s="34">
        <f t="shared" si="48"/>
        <v>0</v>
      </c>
      <c r="M73" s="31"/>
      <c r="N73" s="31"/>
      <c r="O73" s="31"/>
      <c r="P73" s="31"/>
      <c r="Q73" s="33">
        <f t="shared" ref="Q73:S73" si="81">IFERROR(N73/M73,0)</f>
        <v>0</v>
      </c>
      <c r="R73" s="33">
        <f t="shared" si="81"/>
        <v>0</v>
      </c>
      <c r="S73" s="33">
        <f t="shared" si="81"/>
        <v>0</v>
      </c>
      <c r="T73" s="31">
        <f t="shared" si="51"/>
        <v>0</v>
      </c>
      <c r="U73" s="31">
        <f t="shared" si="52"/>
        <v>0</v>
      </c>
      <c r="V73" s="31">
        <f t="shared" si="53"/>
        <v>0</v>
      </c>
      <c r="W73" s="1"/>
      <c r="X73" s="1"/>
      <c r="Y73" s="1"/>
      <c r="Z73" s="1"/>
    </row>
    <row r="74" spans="1:26" x14ac:dyDescent="0.35">
      <c r="A74" s="1"/>
      <c r="B74" s="35"/>
      <c r="C74" s="29"/>
      <c r="D74" s="30"/>
      <c r="E74" s="31"/>
      <c r="F74" s="31"/>
      <c r="G74" s="32">
        <f t="shared" si="45"/>
        <v>0</v>
      </c>
      <c r="H74" s="31"/>
      <c r="I74" s="33">
        <f t="shared" si="46"/>
        <v>0</v>
      </c>
      <c r="J74" s="33">
        <f t="shared" si="47"/>
        <v>0</v>
      </c>
      <c r="K74" s="31"/>
      <c r="L74" s="34">
        <f t="shared" si="48"/>
        <v>0</v>
      </c>
      <c r="M74" s="31"/>
      <c r="N74" s="31"/>
      <c r="O74" s="31"/>
      <c r="P74" s="31"/>
      <c r="Q74" s="33">
        <f t="shared" ref="Q74:S74" si="82">IFERROR(N74/M74,0)</f>
        <v>0</v>
      </c>
      <c r="R74" s="33">
        <f t="shared" si="82"/>
        <v>0</v>
      </c>
      <c r="S74" s="33">
        <f t="shared" si="82"/>
        <v>0</v>
      </c>
      <c r="T74" s="31">
        <f t="shared" si="51"/>
        <v>0</v>
      </c>
      <c r="U74" s="31">
        <f t="shared" si="52"/>
        <v>0</v>
      </c>
      <c r="V74" s="31">
        <f t="shared" si="53"/>
        <v>0</v>
      </c>
      <c r="W74" s="1"/>
      <c r="X74" s="1"/>
      <c r="Y74" s="1"/>
      <c r="Z74" s="1"/>
    </row>
    <row r="75" spans="1:26" x14ac:dyDescent="0.35">
      <c r="A75" s="1"/>
      <c r="B75" s="35"/>
      <c r="C75" s="29"/>
      <c r="D75" s="30"/>
      <c r="E75" s="31"/>
      <c r="F75" s="31"/>
      <c r="G75" s="32">
        <f t="shared" si="45"/>
        <v>0</v>
      </c>
      <c r="H75" s="31"/>
      <c r="I75" s="33">
        <f t="shared" si="46"/>
        <v>0</v>
      </c>
      <c r="J75" s="33">
        <f t="shared" si="47"/>
        <v>0</v>
      </c>
      <c r="K75" s="31"/>
      <c r="L75" s="34">
        <f t="shared" si="48"/>
        <v>0</v>
      </c>
      <c r="M75" s="31"/>
      <c r="N75" s="31"/>
      <c r="O75" s="31"/>
      <c r="P75" s="31"/>
      <c r="Q75" s="33">
        <f t="shared" ref="Q75:S75" si="83">IFERROR(N75/M75,0)</f>
        <v>0</v>
      </c>
      <c r="R75" s="33">
        <f t="shared" si="83"/>
        <v>0</v>
      </c>
      <c r="S75" s="33">
        <f t="shared" si="83"/>
        <v>0</v>
      </c>
      <c r="T75" s="31">
        <f t="shared" si="51"/>
        <v>0</v>
      </c>
      <c r="U75" s="31">
        <f t="shared" si="52"/>
        <v>0</v>
      </c>
      <c r="V75" s="31">
        <f t="shared" si="53"/>
        <v>0</v>
      </c>
      <c r="W75" s="1"/>
      <c r="X75" s="1"/>
      <c r="Y75" s="1"/>
      <c r="Z75" s="1"/>
    </row>
    <row r="76" spans="1:26" x14ac:dyDescent="0.35">
      <c r="A76" s="1"/>
      <c r="B76" s="35"/>
      <c r="C76" s="36"/>
      <c r="D76" s="37"/>
      <c r="E76" s="38"/>
      <c r="F76" s="38"/>
      <c r="G76" s="39">
        <f t="shared" si="45"/>
        <v>0</v>
      </c>
      <c r="H76" s="38"/>
      <c r="I76" s="40">
        <f t="shared" si="46"/>
        <v>0</v>
      </c>
      <c r="J76" s="40">
        <f t="shared" si="47"/>
        <v>0</v>
      </c>
      <c r="K76" s="38"/>
      <c r="L76" s="41">
        <f t="shared" si="48"/>
        <v>0</v>
      </c>
      <c r="M76" s="38"/>
      <c r="N76" s="38"/>
      <c r="O76" s="38"/>
      <c r="P76" s="38"/>
      <c r="Q76" s="40">
        <f t="shared" ref="Q76:S76" si="84">IFERROR(N76/M76,0)</f>
        <v>0</v>
      </c>
      <c r="R76" s="40">
        <f t="shared" si="84"/>
        <v>0</v>
      </c>
      <c r="S76" s="40">
        <f t="shared" si="84"/>
        <v>0</v>
      </c>
      <c r="T76" s="38">
        <f t="shared" si="51"/>
        <v>0</v>
      </c>
      <c r="U76" s="38">
        <f t="shared" si="52"/>
        <v>0</v>
      </c>
      <c r="V76" s="38">
        <f t="shared" si="53"/>
        <v>0</v>
      </c>
      <c r="W76" s="1"/>
      <c r="X76" s="1"/>
      <c r="Y76" s="1"/>
      <c r="Z76" s="1"/>
    </row>
    <row r="77" spans="1:26" x14ac:dyDescent="0.35">
      <c r="A77" s="1"/>
      <c r="B77" s="42" t="s">
        <v>28</v>
      </c>
      <c r="C77" s="43"/>
      <c r="D77" s="43" t="e">
        <f t="shared" ref="D77:F77" si="85">SUM(D45,#REF!)</f>
        <v>#REF!</v>
      </c>
      <c r="E77" s="44" t="e">
        <f t="shared" si="85"/>
        <v>#REF!</v>
      </c>
      <c r="F77" s="44" t="e">
        <f t="shared" si="85"/>
        <v>#REF!</v>
      </c>
      <c r="G77" s="45">
        <f t="shared" si="45"/>
        <v>0</v>
      </c>
      <c r="H77" s="44"/>
      <c r="I77" s="46">
        <f t="shared" si="46"/>
        <v>0</v>
      </c>
      <c r="J77" s="46">
        <f t="shared" si="47"/>
        <v>0</v>
      </c>
      <c r="K77" s="44" t="e">
        <f>SUM(K45,#REF!)</f>
        <v>#REF!</v>
      </c>
      <c r="L77" s="47" t="e">
        <f t="shared" si="48"/>
        <v>#REF!</v>
      </c>
      <c r="M77" s="44" t="e">
        <f t="shared" ref="M77:P77" si="86">SUM(M45,#REF!)</f>
        <v>#REF!</v>
      </c>
      <c r="N77" s="44" t="e">
        <f t="shared" si="86"/>
        <v>#REF!</v>
      </c>
      <c r="O77" s="44" t="e">
        <f t="shared" si="86"/>
        <v>#REF!</v>
      </c>
      <c r="P77" s="44" t="e">
        <f t="shared" si="86"/>
        <v>#REF!</v>
      </c>
      <c r="Q77" s="46">
        <f t="shared" ref="Q77:S77" si="87">IFERROR(N77/M77,0)</f>
        <v>0</v>
      </c>
      <c r="R77" s="46">
        <f t="shared" si="87"/>
        <v>0</v>
      </c>
      <c r="S77" s="46">
        <f t="shared" si="87"/>
        <v>0</v>
      </c>
      <c r="T77" s="44">
        <f t="shared" si="51"/>
        <v>0</v>
      </c>
      <c r="U77" s="44">
        <f t="shared" si="52"/>
        <v>0</v>
      </c>
      <c r="V77" s="44">
        <f t="shared" si="53"/>
        <v>0</v>
      </c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</sheetData>
  <phoneticPr fontId="7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Izumi, Nozomu (SNC)</dc:creator>
  <cp:lastModifiedBy>Izumi, Nozomu (SNC)</cp:lastModifiedBy>
  <dcterms:created xsi:type="dcterms:W3CDTF">2015-06-05T18:17:20Z</dcterms:created>
  <dcterms:modified xsi:type="dcterms:W3CDTF">2026-02-16T09:19:40Z</dcterms:modified>
</cp:coreProperties>
</file>