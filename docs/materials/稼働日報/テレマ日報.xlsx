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0073002358\Downloads\"/>
    </mc:Choice>
  </mc:AlternateContent>
  <xr:revisionPtr revIDLastSave="0" documentId="13_ncr:1_{FA08072F-49FC-43D6-B292-373A695E09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60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KaNsw5mNZK4GSKQY+UN9eMe2Cu/Pc/ddzJTjTeQlkIw="/>
    </ext>
  </extLst>
</workbook>
</file>

<file path=xl/calcChain.xml><?xml version="1.0" encoding="utf-8"?>
<calcChain xmlns="http://schemas.openxmlformats.org/spreadsheetml/2006/main">
  <c r="AH28" i="3" l="1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8" i="3"/>
  <c r="C17" i="3"/>
  <c r="C16" i="3"/>
  <c r="C15" i="3"/>
  <c r="C14" i="3"/>
  <c r="C21" i="3" s="1"/>
  <c r="AE12" i="3"/>
  <c r="AD12" i="3"/>
  <c r="AC12" i="3"/>
  <c r="AB12" i="3"/>
  <c r="AA12" i="3"/>
  <c r="AA13" i="3" s="1"/>
  <c r="Z12" i="3"/>
  <c r="Y12" i="3"/>
  <c r="X12" i="3"/>
  <c r="W12" i="3"/>
  <c r="V12" i="3"/>
  <c r="U12" i="3"/>
  <c r="T12" i="3"/>
  <c r="S12" i="3"/>
  <c r="S13" i="3" s="1"/>
  <c r="R12" i="3"/>
  <c r="Q12" i="3"/>
  <c r="P12" i="3"/>
  <c r="O12" i="3"/>
  <c r="N12" i="3"/>
  <c r="M12" i="3"/>
  <c r="L12" i="3"/>
  <c r="K12" i="3"/>
  <c r="K13" i="3" s="1"/>
  <c r="J12" i="3"/>
  <c r="I12" i="3"/>
  <c r="H12" i="3"/>
  <c r="G12" i="3"/>
  <c r="F12" i="3"/>
  <c r="E12" i="3"/>
  <c r="D12" i="3"/>
  <c r="AE11" i="3"/>
  <c r="AD11" i="3"/>
  <c r="AC11" i="3"/>
  <c r="AB11" i="3"/>
  <c r="AA11" i="3"/>
  <c r="Z11" i="3"/>
  <c r="Y11" i="3"/>
  <c r="X11" i="3"/>
  <c r="W11" i="3"/>
  <c r="W13" i="3" s="1"/>
  <c r="V11" i="3"/>
  <c r="V13" i="3" s="1"/>
  <c r="U11" i="3"/>
  <c r="T11" i="3"/>
  <c r="S11" i="3"/>
  <c r="R11" i="3"/>
  <c r="Q11" i="3"/>
  <c r="P11" i="3"/>
  <c r="O11" i="3"/>
  <c r="O13" i="3" s="1"/>
  <c r="N11" i="3"/>
  <c r="N13" i="3" s="1"/>
  <c r="M11" i="3"/>
  <c r="L11" i="3"/>
  <c r="K11" i="3"/>
  <c r="J11" i="3"/>
  <c r="I11" i="3"/>
  <c r="H11" i="3"/>
  <c r="G11" i="3"/>
  <c r="F11" i="3"/>
  <c r="F13" i="3" s="1"/>
  <c r="E11" i="3"/>
  <c r="D11" i="3"/>
  <c r="D13" i="3" s="1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9" i="3"/>
  <c r="H4" i="3" s="1"/>
  <c r="C8" i="3"/>
  <c r="D7" i="3"/>
  <c r="E6" i="3"/>
  <c r="E7" i="3" s="1"/>
  <c r="D6" i="3"/>
  <c r="C4" i="3"/>
  <c r="F4" i="3" s="1"/>
  <c r="F3" i="3"/>
  <c r="C22" i="3" l="1"/>
  <c r="O4" i="3" s="1"/>
  <c r="T13" i="3"/>
  <c r="AC13" i="3"/>
  <c r="AD13" i="3"/>
  <c r="G13" i="3"/>
  <c r="AE13" i="3"/>
  <c r="C28" i="3"/>
  <c r="M4" i="3" s="1"/>
  <c r="H13" i="3"/>
  <c r="P13" i="3"/>
  <c r="X13" i="3"/>
  <c r="L13" i="3"/>
  <c r="AB13" i="3"/>
  <c r="C11" i="3"/>
  <c r="J13" i="3"/>
  <c r="R13" i="3"/>
  <c r="Z13" i="3"/>
  <c r="I13" i="3"/>
  <c r="Q13" i="3"/>
  <c r="Y13" i="3"/>
  <c r="C10" i="3"/>
  <c r="C19" i="3"/>
  <c r="C12" i="3"/>
  <c r="C13" i="3" s="1"/>
  <c r="M13" i="3"/>
  <c r="E13" i="3"/>
  <c r="U13" i="3"/>
  <c r="F6" i="3"/>
  <c r="C20" i="3"/>
  <c r="N4" i="3" s="1"/>
  <c r="I4" i="3"/>
  <c r="C23" i="3"/>
  <c r="P4" i="3" s="1"/>
  <c r="J4" i="3" l="1"/>
  <c r="K4" i="3" s="1"/>
  <c r="Q4" i="3"/>
  <c r="R4" i="3" s="1"/>
  <c r="G6" i="3"/>
  <c r="F7" i="3"/>
  <c r="G7" i="3" l="1"/>
  <c r="H6" i="3"/>
  <c r="H7" i="3" l="1"/>
  <c r="I6" i="3"/>
  <c r="I7" i="3" l="1"/>
  <c r="J6" i="3"/>
  <c r="K6" i="3" l="1"/>
  <c r="J7" i="3"/>
  <c r="K7" i="3" l="1"/>
  <c r="L6" i="3"/>
  <c r="L7" i="3" l="1"/>
  <c r="M6" i="3"/>
  <c r="M7" i="3" l="1"/>
  <c r="N6" i="3"/>
  <c r="O6" i="3" l="1"/>
  <c r="N7" i="3"/>
  <c r="O7" i="3" l="1"/>
  <c r="P6" i="3"/>
  <c r="P7" i="3" l="1"/>
  <c r="Q6" i="3"/>
  <c r="R6" i="3" l="1"/>
  <c r="Q7" i="3"/>
  <c r="S6" i="3" l="1"/>
  <c r="R7" i="3"/>
  <c r="S7" i="3" l="1"/>
  <c r="T6" i="3"/>
  <c r="U6" i="3" l="1"/>
  <c r="T7" i="3"/>
  <c r="V6" i="3" l="1"/>
  <c r="U7" i="3"/>
  <c r="W6" i="3" l="1"/>
  <c r="V7" i="3"/>
  <c r="W7" i="3" l="1"/>
  <c r="X6" i="3"/>
  <c r="X7" i="3" l="1"/>
  <c r="Y6" i="3"/>
  <c r="Y7" i="3" l="1"/>
  <c r="Z6" i="3"/>
  <c r="AA6" i="3" l="1"/>
  <c r="Z7" i="3"/>
  <c r="AA7" i="3" l="1"/>
  <c r="AB6" i="3"/>
  <c r="AB7" i="3" l="1"/>
  <c r="AC6" i="3"/>
  <c r="AD6" i="3" l="1"/>
  <c r="AC7" i="3"/>
  <c r="AE6" i="3" l="1"/>
  <c r="AE7" i="3" s="1"/>
  <c r="AD7" i="3"/>
</calcChain>
</file>

<file path=xl/sharedStrings.xml><?xml version="1.0" encoding="utf-8"?>
<sst xmlns="http://schemas.openxmlformats.org/spreadsheetml/2006/main" count="51" uniqueCount="33">
  <si>
    <t>集計月</t>
  </si>
  <si>
    <t>稼働日</t>
  </si>
  <si>
    <t>稼働実績</t>
  </si>
  <si>
    <t>ET実績</t>
  </si>
  <si>
    <t>日割り</t>
  </si>
  <si>
    <t>vs 月初見込</t>
  </si>
  <si>
    <t>残稼働</t>
  </si>
  <si>
    <t>アポ生産性</t>
  </si>
  <si>
    <t>前確通過率</t>
  </si>
  <si>
    <t>後確通過率</t>
  </si>
  <si>
    <t>残稼見込</t>
  </si>
  <si>
    <t>集計日</t>
  </si>
  <si>
    <t>Act</t>
  </si>
  <si>
    <t>日付</t>
  </si>
  <si>
    <t>Total</t>
  </si>
  <si>
    <t>曜日</t>
  </si>
  <si>
    <t>月初記入→</t>
  </si>
  <si>
    <t>稼働時間（月初見込）</t>
  </si>
  <si>
    <t>記入→</t>
  </si>
  <si>
    <t>稼働時間（実績）</t>
  </si>
  <si>
    <t>自動→</t>
  </si>
  <si>
    <t>差分（稼働時間）</t>
  </si>
  <si>
    <t>獲得生産性（月初見込）</t>
  </si>
  <si>
    <t>獲得生産性（実績）</t>
  </si>
  <si>
    <t>差分（獲得生産性）</t>
  </si>
  <si>
    <t>アポ数（実績）</t>
  </si>
  <si>
    <t>クローズ通過数</t>
  </si>
  <si>
    <t>前確通過数（実績）</t>
  </si>
  <si>
    <t>エントリー数（実績）</t>
  </si>
  <si>
    <t>エントリー数（月初見込）</t>
  </si>
  <si>
    <t>差分（エントリー数）</t>
  </si>
  <si>
    <t>クローズ通過率</t>
  </si>
  <si>
    <t>残稼働集計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</si>
</sst>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日&quot;"/>
    <numFmt numFmtId="177" formatCode="#,##0&quot;h&quot;"/>
    <numFmt numFmtId="178" formatCode="#,##0&quot;件&quot;;[Red]\-#,##0&quot;件&quot;"/>
    <numFmt numFmtId="179" formatCode="#,##0&quot;h&quot;;[Red]\-#,##0&quot;h&quot;"/>
  </numFmts>
  <fonts count="5" x14ac:knownFonts="1">
    <font>
      <sz val="11"/>
      <color theme="1"/>
      <name val="Aptos Narrow"/>
      <scheme val="minor"/>
    </font>
    <font>
      <sz val="9"/>
      <color theme="1"/>
      <name val="游ゴシック"/>
      <family val="3"/>
      <charset val="128"/>
    </font>
    <font>
      <sz val="11"/>
      <name val="Aptos Narrow"/>
    </font>
    <font>
      <sz val="9"/>
      <color rgb="FFBFBFBF"/>
      <name val="游ゴシック"/>
      <family val="3"/>
      <charset val="128"/>
    </font>
    <font>
      <sz val="6"/>
      <name val="Aptos Narrow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8B6C8"/>
        <bgColor rgb="FFA8B6C8"/>
      </patternFill>
    </fill>
    <fill>
      <patternFill patternType="solid">
        <fgColor rgb="FFF2F2F2"/>
        <bgColor rgb="FFF2F2F2"/>
      </patternFill>
    </fill>
    <fill>
      <patternFill patternType="solid">
        <fgColor rgb="FFFAE2D5"/>
        <bgColor rgb="FFFAE2D5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55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5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79" fontId="1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1" fillId="5" borderId="1" xfId="0" applyNumberFormat="1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97"/>
  <sheetViews>
    <sheetView showGridLines="0" tabSelected="1" workbookViewId="0">
      <selection activeCell="F4" sqref="F4"/>
    </sheetView>
  </sheetViews>
  <sheetFormatPr defaultColWidth="12.6328125" defaultRowHeight="15" customHeight="1" x14ac:dyDescent="0.35"/>
  <cols>
    <col min="1" max="1" width="7.6328125" customWidth="1"/>
    <col min="2" max="2" width="19" customWidth="1"/>
    <col min="3" max="3" width="9" customWidth="1"/>
    <col min="4" max="10" width="7.6328125" customWidth="1"/>
    <col min="11" max="11" width="8.08984375" customWidth="1"/>
    <col min="12" max="34" width="7.6328125" customWidth="1"/>
  </cols>
  <sheetData>
    <row r="1" spans="1:3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5">
      <c r="A3" s="1"/>
      <c r="B3" s="2" t="s">
        <v>0</v>
      </c>
      <c r="C3" s="3">
        <v>46054</v>
      </c>
      <c r="D3" s="1"/>
      <c r="E3" s="2" t="s">
        <v>1</v>
      </c>
      <c r="F3" s="4">
        <f>DAY(EOMONTH(C3,1))</f>
        <v>31</v>
      </c>
      <c r="G3" s="1"/>
      <c r="H3" s="5" t="s">
        <v>2</v>
      </c>
      <c r="I3" s="5" t="s">
        <v>3</v>
      </c>
      <c r="J3" s="5" t="s">
        <v>4</v>
      </c>
      <c r="K3" s="5" t="s">
        <v>5</v>
      </c>
      <c r="L3" s="1"/>
      <c r="M3" s="5" t="s">
        <v>6</v>
      </c>
      <c r="N3" s="5" t="s">
        <v>7</v>
      </c>
      <c r="O3" s="5" t="s">
        <v>8</v>
      </c>
      <c r="P3" s="5" t="s">
        <v>9</v>
      </c>
      <c r="Q3" s="5" t="s">
        <v>10</v>
      </c>
      <c r="R3" s="5" t="s">
        <v>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35">
      <c r="A4" s="1"/>
      <c r="B4" s="2" t="s">
        <v>11</v>
      </c>
      <c r="C4" s="6">
        <f ca="1">TODAY()</f>
        <v>46069</v>
      </c>
      <c r="D4" s="1"/>
      <c r="E4" s="2" t="s">
        <v>12</v>
      </c>
      <c r="F4" s="4">
        <f ca="1">DAY(C4)-1</f>
        <v>15</v>
      </c>
      <c r="G4" s="1"/>
      <c r="H4" s="7">
        <f>C9</f>
        <v>0</v>
      </c>
      <c r="I4" s="8">
        <f>C17</f>
        <v>0</v>
      </c>
      <c r="J4" s="8">
        <f ca="1">I4/F4*F3</f>
        <v>0</v>
      </c>
      <c r="K4" s="8">
        <f ca="1">J4-C18</f>
        <v>0</v>
      </c>
      <c r="L4" s="1"/>
      <c r="M4" s="7">
        <f>C28</f>
        <v>0</v>
      </c>
      <c r="N4" s="9">
        <f>C20</f>
        <v>0</v>
      </c>
      <c r="O4" s="10">
        <f>C22</f>
        <v>0</v>
      </c>
      <c r="P4" s="10">
        <f>C23</f>
        <v>0</v>
      </c>
      <c r="Q4" s="8">
        <f>I4+(M4*N4*O4*P4)</f>
        <v>0</v>
      </c>
      <c r="R4" s="8">
        <f>Q4-C18</f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35">
      <c r="A6" s="1"/>
      <c r="B6" s="2" t="s">
        <v>13</v>
      </c>
      <c r="C6" s="26" t="s">
        <v>14</v>
      </c>
      <c r="D6" s="11">
        <f>C3</f>
        <v>46054</v>
      </c>
      <c r="E6" s="11">
        <f t="shared" ref="E6:AE6" si="0">D6+1</f>
        <v>46055</v>
      </c>
      <c r="F6" s="11">
        <f t="shared" si="0"/>
        <v>46056</v>
      </c>
      <c r="G6" s="11">
        <f t="shared" si="0"/>
        <v>46057</v>
      </c>
      <c r="H6" s="11">
        <f t="shared" si="0"/>
        <v>46058</v>
      </c>
      <c r="I6" s="11">
        <f t="shared" si="0"/>
        <v>46059</v>
      </c>
      <c r="J6" s="11">
        <f t="shared" si="0"/>
        <v>46060</v>
      </c>
      <c r="K6" s="11">
        <f t="shared" si="0"/>
        <v>46061</v>
      </c>
      <c r="L6" s="11">
        <f t="shared" si="0"/>
        <v>46062</v>
      </c>
      <c r="M6" s="11">
        <f t="shared" si="0"/>
        <v>46063</v>
      </c>
      <c r="N6" s="11">
        <f t="shared" si="0"/>
        <v>46064</v>
      </c>
      <c r="O6" s="11">
        <f t="shared" si="0"/>
        <v>46065</v>
      </c>
      <c r="P6" s="11">
        <f t="shared" si="0"/>
        <v>46066</v>
      </c>
      <c r="Q6" s="11">
        <f t="shared" si="0"/>
        <v>46067</v>
      </c>
      <c r="R6" s="11">
        <f t="shared" si="0"/>
        <v>46068</v>
      </c>
      <c r="S6" s="11">
        <f t="shared" si="0"/>
        <v>46069</v>
      </c>
      <c r="T6" s="11">
        <f t="shared" si="0"/>
        <v>46070</v>
      </c>
      <c r="U6" s="11">
        <f t="shared" si="0"/>
        <v>46071</v>
      </c>
      <c r="V6" s="11">
        <f t="shared" si="0"/>
        <v>46072</v>
      </c>
      <c r="W6" s="11">
        <f t="shared" si="0"/>
        <v>46073</v>
      </c>
      <c r="X6" s="11">
        <f t="shared" si="0"/>
        <v>46074</v>
      </c>
      <c r="Y6" s="11">
        <f t="shared" si="0"/>
        <v>46075</v>
      </c>
      <c r="Z6" s="11">
        <f t="shared" si="0"/>
        <v>46076</v>
      </c>
      <c r="AA6" s="11">
        <f t="shared" si="0"/>
        <v>46077</v>
      </c>
      <c r="AB6" s="11">
        <f t="shared" si="0"/>
        <v>46078</v>
      </c>
      <c r="AC6" s="11">
        <f t="shared" si="0"/>
        <v>46079</v>
      </c>
      <c r="AD6" s="11">
        <f t="shared" si="0"/>
        <v>46080</v>
      </c>
      <c r="AE6" s="11">
        <f t="shared" si="0"/>
        <v>46081</v>
      </c>
      <c r="AF6" s="11"/>
      <c r="AG6" s="11"/>
      <c r="AH6" s="11"/>
    </row>
    <row r="7" spans="1:34" x14ac:dyDescent="0.35">
      <c r="A7" s="1"/>
      <c r="B7" s="2" t="s">
        <v>15</v>
      </c>
      <c r="C7" s="27"/>
      <c r="D7" s="5" t="str">
        <f t="shared" ref="D7:AE7" si="1">TEXT(D6,"ddd")</f>
        <v>Sun</v>
      </c>
      <c r="E7" s="5" t="str">
        <f t="shared" si="1"/>
        <v>Mon</v>
      </c>
      <c r="F7" s="5" t="str">
        <f t="shared" si="1"/>
        <v>Tue</v>
      </c>
      <c r="G7" s="5" t="str">
        <f t="shared" si="1"/>
        <v>Wed</v>
      </c>
      <c r="H7" s="5" t="str">
        <f t="shared" si="1"/>
        <v>Thu</v>
      </c>
      <c r="I7" s="5" t="str">
        <f t="shared" si="1"/>
        <v>Fri</v>
      </c>
      <c r="J7" s="5" t="str">
        <f t="shared" si="1"/>
        <v>Sat</v>
      </c>
      <c r="K7" s="5" t="str">
        <f t="shared" si="1"/>
        <v>Sun</v>
      </c>
      <c r="L7" s="5" t="str">
        <f t="shared" si="1"/>
        <v>Mon</v>
      </c>
      <c r="M7" s="5" t="str">
        <f t="shared" si="1"/>
        <v>Tue</v>
      </c>
      <c r="N7" s="5" t="str">
        <f t="shared" si="1"/>
        <v>Wed</v>
      </c>
      <c r="O7" s="5" t="str">
        <f t="shared" si="1"/>
        <v>Thu</v>
      </c>
      <c r="P7" s="5" t="str">
        <f t="shared" si="1"/>
        <v>Fri</v>
      </c>
      <c r="Q7" s="5" t="str">
        <f t="shared" si="1"/>
        <v>Sat</v>
      </c>
      <c r="R7" s="5" t="str">
        <f t="shared" si="1"/>
        <v>Sun</v>
      </c>
      <c r="S7" s="5" t="str">
        <f t="shared" si="1"/>
        <v>Mon</v>
      </c>
      <c r="T7" s="5" t="str">
        <f t="shared" si="1"/>
        <v>Tue</v>
      </c>
      <c r="U7" s="5" t="str">
        <f t="shared" si="1"/>
        <v>Wed</v>
      </c>
      <c r="V7" s="5" t="str">
        <f t="shared" si="1"/>
        <v>Thu</v>
      </c>
      <c r="W7" s="5" t="str">
        <f t="shared" si="1"/>
        <v>Fri</v>
      </c>
      <c r="X7" s="5" t="str">
        <f t="shared" si="1"/>
        <v>Sat</v>
      </c>
      <c r="Y7" s="5" t="str">
        <f t="shared" si="1"/>
        <v>Sun</v>
      </c>
      <c r="Z7" s="5" t="str">
        <f t="shared" si="1"/>
        <v>Mon</v>
      </c>
      <c r="AA7" s="5" t="str">
        <f t="shared" si="1"/>
        <v>Tue</v>
      </c>
      <c r="AB7" s="5" t="str">
        <f t="shared" si="1"/>
        <v>Wed</v>
      </c>
      <c r="AC7" s="5" t="str">
        <f t="shared" si="1"/>
        <v>Thu</v>
      </c>
      <c r="AD7" s="5" t="str">
        <f t="shared" si="1"/>
        <v>Fri</v>
      </c>
      <c r="AE7" s="5" t="str">
        <f t="shared" si="1"/>
        <v>Sat</v>
      </c>
      <c r="AF7" s="5"/>
      <c r="AG7" s="5"/>
      <c r="AH7" s="5"/>
    </row>
    <row r="8" spans="1:34" x14ac:dyDescent="0.35">
      <c r="A8" s="1" t="s">
        <v>16</v>
      </c>
      <c r="B8" s="12" t="s">
        <v>17</v>
      </c>
      <c r="C8" s="13">
        <f t="shared" ref="C8:C9" si="2">SUM(D8:AH8)</f>
        <v>0</v>
      </c>
      <c r="D8" s="22"/>
      <c r="E8" s="13"/>
      <c r="F8" s="13"/>
      <c r="G8" s="13"/>
      <c r="H8" s="13"/>
      <c r="I8" s="13"/>
      <c r="J8" s="13"/>
      <c r="K8" s="22"/>
      <c r="L8" s="13"/>
      <c r="M8" s="13"/>
      <c r="N8" s="13"/>
      <c r="O8" s="13"/>
      <c r="P8" s="13"/>
      <c r="Q8" s="13"/>
      <c r="R8" s="22"/>
      <c r="S8" s="13"/>
      <c r="T8" s="13"/>
      <c r="U8" s="13"/>
      <c r="V8" s="13"/>
      <c r="W8" s="13"/>
      <c r="X8" s="13"/>
      <c r="Y8" s="22"/>
      <c r="Z8" s="13"/>
      <c r="AA8" s="13"/>
      <c r="AB8" s="13"/>
      <c r="AC8" s="13"/>
      <c r="AD8" s="13"/>
      <c r="AE8" s="13"/>
      <c r="AF8" s="13"/>
      <c r="AG8" s="13"/>
      <c r="AH8" s="13"/>
    </row>
    <row r="9" spans="1:34" x14ac:dyDescent="0.35">
      <c r="A9" s="1" t="s">
        <v>18</v>
      </c>
      <c r="B9" s="12" t="s">
        <v>19</v>
      </c>
      <c r="C9" s="13">
        <f t="shared" si="2"/>
        <v>0</v>
      </c>
      <c r="D9" s="22"/>
      <c r="E9" s="13"/>
      <c r="F9" s="13"/>
      <c r="G9" s="13"/>
      <c r="H9" s="13"/>
      <c r="I9" s="13"/>
      <c r="J9" s="13"/>
      <c r="K9" s="22"/>
      <c r="L9" s="13"/>
      <c r="M9" s="13"/>
      <c r="N9" s="13"/>
      <c r="O9" s="13"/>
      <c r="P9" s="13"/>
      <c r="Q9" s="13"/>
      <c r="R9" s="22"/>
      <c r="S9" s="13"/>
      <c r="T9" s="13"/>
      <c r="U9" s="13"/>
      <c r="V9" s="13"/>
      <c r="W9" s="13"/>
      <c r="X9" s="13"/>
      <c r="Y9" s="22"/>
      <c r="Z9" s="13"/>
      <c r="AA9" s="13"/>
      <c r="AB9" s="13"/>
      <c r="AC9" s="13"/>
      <c r="AD9" s="13"/>
      <c r="AE9" s="13"/>
      <c r="AF9" s="13"/>
      <c r="AG9" s="13"/>
      <c r="AH9" s="13"/>
    </row>
    <row r="10" spans="1:34" x14ac:dyDescent="0.35">
      <c r="A10" s="14" t="s">
        <v>20</v>
      </c>
      <c r="B10" s="12" t="s">
        <v>21</v>
      </c>
      <c r="C10" s="15">
        <f t="shared" ref="C10:AE10" si="3">C9-C8</f>
        <v>0</v>
      </c>
      <c r="D10" s="23">
        <f t="shared" si="3"/>
        <v>0</v>
      </c>
      <c r="E10" s="15">
        <f t="shared" si="3"/>
        <v>0</v>
      </c>
      <c r="F10" s="15">
        <f t="shared" si="3"/>
        <v>0</v>
      </c>
      <c r="G10" s="15">
        <f t="shared" si="3"/>
        <v>0</v>
      </c>
      <c r="H10" s="15">
        <f t="shared" si="3"/>
        <v>0</v>
      </c>
      <c r="I10" s="15">
        <f t="shared" si="3"/>
        <v>0</v>
      </c>
      <c r="J10" s="15">
        <f t="shared" si="3"/>
        <v>0</v>
      </c>
      <c r="K10" s="23">
        <f t="shared" si="3"/>
        <v>0</v>
      </c>
      <c r="L10" s="15">
        <f t="shared" si="3"/>
        <v>0</v>
      </c>
      <c r="M10" s="15">
        <f t="shared" si="3"/>
        <v>0</v>
      </c>
      <c r="N10" s="15">
        <f t="shared" si="3"/>
        <v>0</v>
      </c>
      <c r="O10" s="15">
        <f t="shared" si="3"/>
        <v>0</v>
      </c>
      <c r="P10" s="15">
        <f t="shared" si="3"/>
        <v>0</v>
      </c>
      <c r="Q10" s="15">
        <f t="shared" si="3"/>
        <v>0</v>
      </c>
      <c r="R10" s="23">
        <f t="shared" si="3"/>
        <v>0</v>
      </c>
      <c r="S10" s="15">
        <f t="shared" si="3"/>
        <v>0</v>
      </c>
      <c r="T10" s="15">
        <f t="shared" si="3"/>
        <v>0</v>
      </c>
      <c r="U10" s="15">
        <f t="shared" si="3"/>
        <v>0</v>
      </c>
      <c r="V10" s="15">
        <f t="shared" si="3"/>
        <v>0</v>
      </c>
      <c r="W10" s="15">
        <f t="shared" si="3"/>
        <v>0</v>
      </c>
      <c r="X10" s="15">
        <f t="shared" si="3"/>
        <v>0</v>
      </c>
      <c r="Y10" s="23">
        <f t="shared" si="3"/>
        <v>0</v>
      </c>
      <c r="Z10" s="15">
        <f t="shared" si="3"/>
        <v>0</v>
      </c>
      <c r="AA10" s="15">
        <f t="shared" si="3"/>
        <v>0</v>
      </c>
      <c r="AB10" s="15">
        <f t="shared" si="3"/>
        <v>0</v>
      </c>
      <c r="AC10" s="15">
        <f t="shared" si="3"/>
        <v>0</v>
      </c>
      <c r="AD10" s="15">
        <f t="shared" si="3"/>
        <v>0</v>
      </c>
      <c r="AE10" s="15">
        <f t="shared" si="3"/>
        <v>0</v>
      </c>
      <c r="AF10" s="15"/>
      <c r="AG10" s="15"/>
      <c r="AH10" s="15"/>
    </row>
    <row r="11" spans="1:34" x14ac:dyDescent="0.35">
      <c r="A11" s="14" t="s">
        <v>20</v>
      </c>
      <c r="B11" s="12" t="s">
        <v>22</v>
      </c>
      <c r="C11" s="16">
        <f t="shared" ref="C11:AE11" si="4">IFERROR(C18/C8,0)</f>
        <v>0</v>
      </c>
      <c r="D11" s="24">
        <f t="shared" si="4"/>
        <v>0</v>
      </c>
      <c r="E11" s="16">
        <f t="shared" si="4"/>
        <v>0</v>
      </c>
      <c r="F11" s="16">
        <f t="shared" si="4"/>
        <v>0</v>
      </c>
      <c r="G11" s="16">
        <f t="shared" si="4"/>
        <v>0</v>
      </c>
      <c r="H11" s="16">
        <f t="shared" si="4"/>
        <v>0</v>
      </c>
      <c r="I11" s="16">
        <f t="shared" si="4"/>
        <v>0</v>
      </c>
      <c r="J11" s="16">
        <f t="shared" si="4"/>
        <v>0</v>
      </c>
      <c r="K11" s="24">
        <f t="shared" si="4"/>
        <v>0</v>
      </c>
      <c r="L11" s="16">
        <f t="shared" si="4"/>
        <v>0</v>
      </c>
      <c r="M11" s="16">
        <f t="shared" si="4"/>
        <v>0</v>
      </c>
      <c r="N11" s="16">
        <f t="shared" si="4"/>
        <v>0</v>
      </c>
      <c r="O11" s="16">
        <f t="shared" si="4"/>
        <v>0</v>
      </c>
      <c r="P11" s="16">
        <f t="shared" si="4"/>
        <v>0</v>
      </c>
      <c r="Q11" s="16">
        <f t="shared" si="4"/>
        <v>0</v>
      </c>
      <c r="R11" s="24">
        <f t="shared" si="4"/>
        <v>0</v>
      </c>
      <c r="S11" s="16">
        <f t="shared" si="4"/>
        <v>0</v>
      </c>
      <c r="T11" s="16">
        <f t="shared" si="4"/>
        <v>0</v>
      </c>
      <c r="U11" s="16">
        <f t="shared" si="4"/>
        <v>0</v>
      </c>
      <c r="V11" s="16">
        <f t="shared" si="4"/>
        <v>0</v>
      </c>
      <c r="W11" s="16">
        <f t="shared" si="4"/>
        <v>0</v>
      </c>
      <c r="X11" s="16">
        <f t="shared" si="4"/>
        <v>0</v>
      </c>
      <c r="Y11" s="24">
        <f t="shared" si="4"/>
        <v>0</v>
      </c>
      <c r="Z11" s="16">
        <f t="shared" si="4"/>
        <v>0</v>
      </c>
      <c r="AA11" s="16">
        <f t="shared" si="4"/>
        <v>0</v>
      </c>
      <c r="AB11" s="16">
        <f t="shared" si="4"/>
        <v>0</v>
      </c>
      <c r="AC11" s="16">
        <f t="shared" si="4"/>
        <v>0</v>
      </c>
      <c r="AD11" s="16">
        <f t="shared" si="4"/>
        <v>0</v>
      </c>
      <c r="AE11" s="16">
        <f t="shared" si="4"/>
        <v>0</v>
      </c>
      <c r="AF11" s="16"/>
      <c r="AG11" s="16"/>
      <c r="AH11" s="16"/>
    </row>
    <row r="12" spans="1:34" x14ac:dyDescent="0.35">
      <c r="A12" s="14" t="s">
        <v>20</v>
      </c>
      <c r="B12" s="12" t="s">
        <v>23</v>
      </c>
      <c r="C12" s="16">
        <f t="shared" ref="C12:AE12" si="5">IFERROR(C17/C9,0)</f>
        <v>0</v>
      </c>
      <c r="D12" s="24">
        <f t="shared" si="5"/>
        <v>0</v>
      </c>
      <c r="E12" s="16">
        <f t="shared" si="5"/>
        <v>0</v>
      </c>
      <c r="F12" s="16">
        <f t="shared" si="5"/>
        <v>0</v>
      </c>
      <c r="G12" s="16">
        <f t="shared" si="5"/>
        <v>0</v>
      </c>
      <c r="H12" s="16">
        <f t="shared" si="5"/>
        <v>0</v>
      </c>
      <c r="I12" s="16">
        <f t="shared" si="5"/>
        <v>0</v>
      </c>
      <c r="J12" s="16">
        <f t="shared" si="5"/>
        <v>0</v>
      </c>
      <c r="K12" s="24">
        <f t="shared" si="5"/>
        <v>0</v>
      </c>
      <c r="L12" s="16">
        <f t="shared" si="5"/>
        <v>0</v>
      </c>
      <c r="M12" s="16">
        <f t="shared" si="5"/>
        <v>0</v>
      </c>
      <c r="N12" s="16">
        <f t="shared" si="5"/>
        <v>0</v>
      </c>
      <c r="O12" s="16">
        <f t="shared" si="5"/>
        <v>0</v>
      </c>
      <c r="P12" s="16">
        <f t="shared" si="5"/>
        <v>0</v>
      </c>
      <c r="Q12" s="16">
        <f t="shared" si="5"/>
        <v>0</v>
      </c>
      <c r="R12" s="24">
        <f t="shared" si="5"/>
        <v>0</v>
      </c>
      <c r="S12" s="16">
        <f t="shared" si="5"/>
        <v>0</v>
      </c>
      <c r="T12" s="16">
        <f t="shared" si="5"/>
        <v>0</v>
      </c>
      <c r="U12" s="16">
        <f t="shared" si="5"/>
        <v>0</v>
      </c>
      <c r="V12" s="16">
        <f t="shared" si="5"/>
        <v>0</v>
      </c>
      <c r="W12" s="16">
        <f t="shared" si="5"/>
        <v>0</v>
      </c>
      <c r="X12" s="16">
        <f t="shared" si="5"/>
        <v>0</v>
      </c>
      <c r="Y12" s="24">
        <f t="shared" si="5"/>
        <v>0</v>
      </c>
      <c r="Z12" s="16">
        <f t="shared" si="5"/>
        <v>0</v>
      </c>
      <c r="AA12" s="16">
        <f t="shared" si="5"/>
        <v>0</v>
      </c>
      <c r="AB12" s="16">
        <f t="shared" si="5"/>
        <v>0</v>
      </c>
      <c r="AC12" s="16">
        <f t="shared" si="5"/>
        <v>0</v>
      </c>
      <c r="AD12" s="16">
        <f t="shared" si="5"/>
        <v>0</v>
      </c>
      <c r="AE12" s="16">
        <f t="shared" si="5"/>
        <v>0</v>
      </c>
      <c r="AF12" s="16"/>
      <c r="AG12" s="16"/>
      <c r="AH12" s="16"/>
    </row>
    <row r="13" spans="1:34" x14ac:dyDescent="0.35">
      <c r="A13" s="14" t="s">
        <v>20</v>
      </c>
      <c r="B13" s="12" t="s">
        <v>24</v>
      </c>
      <c r="C13" s="17">
        <f t="shared" ref="C13:AE13" si="6">IFERROR(C12-C11,0)</f>
        <v>0</v>
      </c>
      <c r="D13" s="24">
        <f t="shared" si="6"/>
        <v>0</v>
      </c>
      <c r="E13" s="17">
        <f t="shared" si="6"/>
        <v>0</v>
      </c>
      <c r="F13" s="17">
        <f t="shared" si="6"/>
        <v>0</v>
      </c>
      <c r="G13" s="17">
        <f t="shared" si="6"/>
        <v>0</v>
      </c>
      <c r="H13" s="17">
        <f t="shared" si="6"/>
        <v>0</v>
      </c>
      <c r="I13" s="17">
        <f t="shared" si="6"/>
        <v>0</v>
      </c>
      <c r="J13" s="17">
        <f t="shared" si="6"/>
        <v>0</v>
      </c>
      <c r="K13" s="24">
        <f t="shared" si="6"/>
        <v>0</v>
      </c>
      <c r="L13" s="17">
        <f t="shared" si="6"/>
        <v>0</v>
      </c>
      <c r="M13" s="17">
        <f t="shared" si="6"/>
        <v>0</v>
      </c>
      <c r="N13" s="17">
        <f t="shared" si="6"/>
        <v>0</v>
      </c>
      <c r="O13" s="17">
        <f t="shared" si="6"/>
        <v>0</v>
      </c>
      <c r="P13" s="17">
        <f t="shared" si="6"/>
        <v>0</v>
      </c>
      <c r="Q13" s="17">
        <f t="shared" si="6"/>
        <v>0</v>
      </c>
      <c r="R13" s="24">
        <f t="shared" si="6"/>
        <v>0</v>
      </c>
      <c r="S13" s="17">
        <f t="shared" si="6"/>
        <v>0</v>
      </c>
      <c r="T13" s="17">
        <f t="shared" si="6"/>
        <v>0</v>
      </c>
      <c r="U13" s="17">
        <f t="shared" si="6"/>
        <v>0</v>
      </c>
      <c r="V13" s="17">
        <f t="shared" si="6"/>
        <v>0</v>
      </c>
      <c r="W13" s="17">
        <f t="shared" si="6"/>
        <v>0</v>
      </c>
      <c r="X13" s="17">
        <f t="shared" si="6"/>
        <v>0</v>
      </c>
      <c r="Y13" s="24">
        <f t="shared" si="6"/>
        <v>0</v>
      </c>
      <c r="Z13" s="17">
        <f t="shared" si="6"/>
        <v>0</v>
      </c>
      <c r="AA13" s="17">
        <f t="shared" si="6"/>
        <v>0</v>
      </c>
      <c r="AB13" s="17">
        <f t="shared" si="6"/>
        <v>0</v>
      </c>
      <c r="AC13" s="17">
        <f t="shared" si="6"/>
        <v>0</v>
      </c>
      <c r="AD13" s="17">
        <f t="shared" si="6"/>
        <v>0</v>
      </c>
      <c r="AE13" s="17">
        <f t="shared" si="6"/>
        <v>0</v>
      </c>
      <c r="AF13" s="17"/>
      <c r="AG13" s="17"/>
      <c r="AH13" s="17"/>
    </row>
    <row r="14" spans="1:34" x14ac:dyDescent="0.35">
      <c r="A14" s="1" t="s">
        <v>18</v>
      </c>
      <c r="B14" s="12" t="s">
        <v>25</v>
      </c>
      <c r="C14" s="18">
        <f t="shared" ref="C14:C18" si="7">SUM(D14:AH14)</f>
        <v>0</v>
      </c>
      <c r="D14" s="25"/>
      <c r="E14" s="18"/>
      <c r="F14" s="18"/>
      <c r="G14" s="18"/>
      <c r="H14" s="18"/>
      <c r="I14" s="18"/>
      <c r="J14" s="18"/>
      <c r="K14" s="25"/>
      <c r="L14" s="18"/>
      <c r="M14" s="18"/>
      <c r="N14" s="18"/>
      <c r="O14" s="18"/>
      <c r="P14" s="18"/>
      <c r="Q14" s="18"/>
      <c r="R14" s="25"/>
      <c r="S14" s="18"/>
      <c r="T14" s="18"/>
      <c r="U14" s="18"/>
      <c r="V14" s="18"/>
      <c r="W14" s="18"/>
      <c r="X14" s="18"/>
      <c r="Y14" s="25"/>
      <c r="Z14" s="18"/>
      <c r="AA14" s="18"/>
      <c r="AB14" s="18"/>
      <c r="AC14" s="18"/>
      <c r="AD14" s="18"/>
      <c r="AE14" s="18"/>
      <c r="AF14" s="18"/>
      <c r="AG14" s="18"/>
      <c r="AH14" s="18"/>
    </row>
    <row r="15" spans="1:34" x14ac:dyDescent="0.35">
      <c r="A15" s="1" t="s">
        <v>18</v>
      </c>
      <c r="B15" s="12" t="s">
        <v>26</v>
      </c>
      <c r="C15" s="18">
        <f t="shared" si="7"/>
        <v>0</v>
      </c>
      <c r="D15" s="25"/>
      <c r="E15" s="18"/>
      <c r="F15" s="18"/>
      <c r="G15" s="18"/>
      <c r="H15" s="18"/>
      <c r="I15" s="18"/>
      <c r="J15" s="18"/>
      <c r="K15" s="25"/>
      <c r="L15" s="18"/>
      <c r="M15" s="18"/>
      <c r="N15" s="18"/>
      <c r="O15" s="18"/>
      <c r="P15" s="18"/>
      <c r="Q15" s="18"/>
      <c r="R15" s="25"/>
      <c r="S15" s="18"/>
      <c r="T15" s="18"/>
      <c r="U15" s="18"/>
      <c r="V15" s="18"/>
      <c r="W15" s="18"/>
      <c r="X15" s="18"/>
      <c r="Y15" s="25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34" x14ac:dyDescent="0.35">
      <c r="A16" s="1" t="s">
        <v>18</v>
      </c>
      <c r="B16" s="12" t="s">
        <v>27</v>
      </c>
      <c r="C16" s="18">
        <f t="shared" si="7"/>
        <v>0</v>
      </c>
      <c r="D16" s="25"/>
      <c r="E16" s="18"/>
      <c r="F16" s="18"/>
      <c r="G16" s="18"/>
      <c r="H16" s="18"/>
      <c r="I16" s="18"/>
      <c r="J16" s="18"/>
      <c r="K16" s="25"/>
      <c r="L16" s="18"/>
      <c r="M16" s="18"/>
      <c r="N16" s="18"/>
      <c r="O16" s="18"/>
      <c r="P16" s="18"/>
      <c r="Q16" s="18"/>
      <c r="R16" s="25"/>
      <c r="S16" s="18"/>
      <c r="T16" s="18"/>
      <c r="U16" s="18"/>
      <c r="V16" s="18"/>
      <c r="W16" s="18"/>
      <c r="X16" s="18"/>
      <c r="Y16" s="25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1:34" x14ac:dyDescent="0.35">
      <c r="A17" s="1" t="s">
        <v>18</v>
      </c>
      <c r="B17" s="12" t="s">
        <v>28</v>
      </c>
      <c r="C17" s="18">
        <f t="shared" si="7"/>
        <v>0</v>
      </c>
      <c r="D17" s="25"/>
      <c r="E17" s="18"/>
      <c r="F17" s="18"/>
      <c r="G17" s="18"/>
      <c r="H17" s="18"/>
      <c r="I17" s="18"/>
      <c r="J17" s="18"/>
      <c r="K17" s="25"/>
      <c r="L17" s="18"/>
      <c r="M17" s="18"/>
      <c r="N17" s="18"/>
      <c r="O17" s="18"/>
      <c r="P17" s="18"/>
      <c r="Q17" s="18"/>
      <c r="R17" s="25"/>
      <c r="S17" s="18"/>
      <c r="T17" s="18"/>
      <c r="U17" s="18"/>
      <c r="V17" s="18"/>
      <c r="W17" s="18"/>
      <c r="X17" s="18"/>
      <c r="Y17" s="25"/>
      <c r="Z17" s="18"/>
      <c r="AA17" s="18"/>
      <c r="AB17" s="18"/>
      <c r="AC17" s="18"/>
      <c r="AD17" s="18"/>
      <c r="AE17" s="18"/>
      <c r="AF17" s="18"/>
      <c r="AG17" s="18"/>
      <c r="AH17" s="18"/>
    </row>
    <row r="18" spans="1:34" x14ac:dyDescent="0.35">
      <c r="A18" s="1" t="s">
        <v>16</v>
      </c>
      <c r="B18" s="12" t="s">
        <v>29</v>
      </c>
      <c r="C18" s="18">
        <f t="shared" si="7"/>
        <v>0</v>
      </c>
      <c r="D18" s="25"/>
      <c r="E18" s="18"/>
      <c r="F18" s="18"/>
      <c r="G18" s="18"/>
      <c r="H18" s="18"/>
      <c r="I18" s="18"/>
      <c r="J18" s="18"/>
      <c r="K18" s="25"/>
      <c r="L18" s="18"/>
      <c r="M18" s="18"/>
      <c r="N18" s="18"/>
      <c r="O18" s="18"/>
      <c r="P18" s="18"/>
      <c r="Q18" s="18"/>
      <c r="R18" s="25"/>
      <c r="S18" s="18"/>
      <c r="T18" s="18"/>
      <c r="U18" s="18"/>
      <c r="V18" s="18"/>
      <c r="W18" s="18"/>
      <c r="X18" s="18"/>
      <c r="Y18" s="25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1:34" x14ac:dyDescent="0.35">
      <c r="A19" s="14" t="s">
        <v>20</v>
      </c>
      <c r="B19" s="12" t="s">
        <v>30</v>
      </c>
      <c r="C19" s="19">
        <f t="shared" ref="C19:AE19" si="8">C17-C18</f>
        <v>0</v>
      </c>
      <c r="D19" s="19">
        <f t="shared" si="8"/>
        <v>0</v>
      </c>
      <c r="E19" s="19">
        <f t="shared" si="8"/>
        <v>0</v>
      </c>
      <c r="F19" s="19">
        <f t="shared" si="8"/>
        <v>0</v>
      </c>
      <c r="G19" s="19">
        <f t="shared" si="8"/>
        <v>0</v>
      </c>
      <c r="H19" s="19">
        <f t="shared" si="8"/>
        <v>0</v>
      </c>
      <c r="I19" s="19">
        <f t="shared" si="8"/>
        <v>0</v>
      </c>
      <c r="J19" s="19">
        <f t="shared" si="8"/>
        <v>0</v>
      </c>
      <c r="K19" s="19">
        <f t="shared" si="8"/>
        <v>0</v>
      </c>
      <c r="L19" s="19">
        <f t="shared" si="8"/>
        <v>0</v>
      </c>
      <c r="M19" s="19">
        <f t="shared" si="8"/>
        <v>0</v>
      </c>
      <c r="N19" s="19">
        <f t="shared" si="8"/>
        <v>0</v>
      </c>
      <c r="O19" s="19">
        <f t="shared" si="8"/>
        <v>0</v>
      </c>
      <c r="P19" s="19">
        <f t="shared" si="8"/>
        <v>0</v>
      </c>
      <c r="Q19" s="19">
        <f t="shared" si="8"/>
        <v>0</v>
      </c>
      <c r="R19" s="19">
        <f t="shared" si="8"/>
        <v>0</v>
      </c>
      <c r="S19" s="19">
        <f t="shared" si="8"/>
        <v>0</v>
      </c>
      <c r="T19" s="19">
        <f t="shared" si="8"/>
        <v>0</v>
      </c>
      <c r="U19" s="19">
        <f t="shared" si="8"/>
        <v>0</v>
      </c>
      <c r="V19" s="19">
        <f t="shared" si="8"/>
        <v>0</v>
      </c>
      <c r="W19" s="19">
        <f t="shared" si="8"/>
        <v>0</v>
      </c>
      <c r="X19" s="19">
        <f t="shared" si="8"/>
        <v>0</v>
      </c>
      <c r="Y19" s="19">
        <f t="shared" si="8"/>
        <v>0</v>
      </c>
      <c r="Z19" s="19">
        <f t="shared" si="8"/>
        <v>0</v>
      </c>
      <c r="AA19" s="19">
        <f t="shared" si="8"/>
        <v>0</v>
      </c>
      <c r="AB19" s="19">
        <f t="shared" si="8"/>
        <v>0</v>
      </c>
      <c r="AC19" s="19">
        <f t="shared" si="8"/>
        <v>0</v>
      </c>
      <c r="AD19" s="19">
        <f t="shared" si="8"/>
        <v>0</v>
      </c>
      <c r="AE19" s="19">
        <f t="shared" si="8"/>
        <v>0</v>
      </c>
      <c r="AF19" s="19"/>
      <c r="AG19" s="19"/>
      <c r="AH19" s="19"/>
    </row>
    <row r="20" spans="1:34" x14ac:dyDescent="0.35">
      <c r="A20" s="14" t="s">
        <v>20</v>
      </c>
      <c r="B20" s="12" t="s">
        <v>7</v>
      </c>
      <c r="C20" s="16">
        <f t="shared" ref="C20:AE20" si="9">IFERROR(C14/C9,0)</f>
        <v>0</v>
      </c>
      <c r="D20" s="16">
        <f t="shared" si="9"/>
        <v>0</v>
      </c>
      <c r="E20" s="16">
        <f t="shared" si="9"/>
        <v>0</v>
      </c>
      <c r="F20" s="16">
        <f t="shared" si="9"/>
        <v>0</v>
      </c>
      <c r="G20" s="16">
        <f t="shared" si="9"/>
        <v>0</v>
      </c>
      <c r="H20" s="16">
        <f t="shared" si="9"/>
        <v>0</v>
      </c>
      <c r="I20" s="16">
        <f t="shared" si="9"/>
        <v>0</v>
      </c>
      <c r="J20" s="16">
        <f t="shared" si="9"/>
        <v>0</v>
      </c>
      <c r="K20" s="16">
        <f t="shared" si="9"/>
        <v>0</v>
      </c>
      <c r="L20" s="16">
        <f t="shared" si="9"/>
        <v>0</v>
      </c>
      <c r="M20" s="16">
        <f t="shared" si="9"/>
        <v>0</v>
      </c>
      <c r="N20" s="16">
        <f t="shared" si="9"/>
        <v>0</v>
      </c>
      <c r="O20" s="16">
        <f t="shared" si="9"/>
        <v>0</v>
      </c>
      <c r="P20" s="16">
        <f t="shared" si="9"/>
        <v>0</v>
      </c>
      <c r="Q20" s="16">
        <f t="shared" si="9"/>
        <v>0</v>
      </c>
      <c r="R20" s="16">
        <f t="shared" si="9"/>
        <v>0</v>
      </c>
      <c r="S20" s="16">
        <f t="shared" si="9"/>
        <v>0</v>
      </c>
      <c r="T20" s="16">
        <f t="shared" si="9"/>
        <v>0</v>
      </c>
      <c r="U20" s="16">
        <f t="shared" si="9"/>
        <v>0</v>
      </c>
      <c r="V20" s="16">
        <f t="shared" si="9"/>
        <v>0</v>
      </c>
      <c r="W20" s="16">
        <f t="shared" si="9"/>
        <v>0</v>
      </c>
      <c r="X20" s="16">
        <f t="shared" si="9"/>
        <v>0</v>
      </c>
      <c r="Y20" s="16">
        <f t="shared" si="9"/>
        <v>0</v>
      </c>
      <c r="Z20" s="16">
        <f t="shared" si="9"/>
        <v>0</v>
      </c>
      <c r="AA20" s="16">
        <f t="shared" si="9"/>
        <v>0</v>
      </c>
      <c r="AB20" s="16">
        <f t="shared" si="9"/>
        <v>0</v>
      </c>
      <c r="AC20" s="16">
        <f t="shared" si="9"/>
        <v>0</v>
      </c>
      <c r="AD20" s="16">
        <f t="shared" si="9"/>
        <v>0</v>
      </c>
      <c r="AE20" s="16">
        <f t="shared" si="9"/>
        <v>0</v>
      </c>
      <c r="AF20" s="16"/>
      <c r="AG20" s="16"/>
      <c r="AH20" s="16"/>
    </row>
    <row r="21" spans="1:34" x14ac:dyDescent="0.35">
      <c r="A21" s="14" t="s">
        <v>20</v>
      </c>
      <c r="B21" s="12" t="s">
        <v>31</v>
      </c>
      <c r="C21" s="20">
        <f t="shared" ref="C21:AE21" si="10">IFERROR(C15/C14,0)</f>
        <v>0</v>
      </c>
      <c r="D21" s="20">
        <f t="shared" si="10"/>
        <v>0</v>
      </c>
      <c r="E21" s="20">
        <f t="shared" si="10"/>
        <v>0</v>
      </c>
      <c r="F21" s="20">
        <f t="shared" si="10"/>
        <v>0</v>
      </c>
      <c r="G21" s="20">
        <f t="shared" si="10"/>
        <v>0</v>
      </c>
      <c r="H21" s="20">
        <f t="shared" si="10"/>
        <v>0</v>
      </c>
      <c r="I21" s="20">
        <f t="shared" si="10"/>
        <v>0</v>
      </c>
      <c r="J21" s="20">
        <f t="shared" si="10"/>
        <v>0</v>
      </c>
      <c r="K21" s="20">
        <f t="shared" si="10"/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  <c r="O21" s="20">
        <f t="shared" si="10"/>
        <v>0</v>
      </c>
      <c r="P21" s="20">
        <f t="shared" si="10"/>
        <v>0</v>
      </c>
      <c r="Q21" s="20">
        <f t="shared" si="10"/>
        <v>0</v>
      </c>
      <c r="R21" s="20">
        <f t="shared" si="10"/>
        <v>0</v>
      </c>
      <c r="S21" s="20">
        <f t="shared" si="10"/>
        <v>0</v>
      </c>
      <c r="T21" s="20">
        <f t="shared" si="10"/>
        <v>0</v>
      </c>
      <c r="U21" s="20">
        <f t="shared" si="10"/>
        <v>0</v>
      </c>
      <c r="V21" s="20">
        <f t="shared" si="10"/>
        <v>0</v>
      </c>
      <c r="W21" s="20">
        <f t="shared" si="10"/>
        <v>0</v>
      </c>
      <c r="X21" s="20">
        <f t="shared" si="10"/>
        <v>0</v>
      </c>
      <c r="Y21" s="20">
        <f t="shared" si="10"/>
        <v>0</v>
      </c>
      <c r="Z21" s="20">
        <f t="shared" si="10"/>
        <v>0</v>
      </c>
      <c r="AA21" s="20">
        <f t="shared" si="10"/>
        <v>0</v>
      </c>
      <c r="AB21" s="20">
        <f t="shared" si="10"/>
        <v>0</v>
      </c>
      <c r="AC21" s="20">
        <f t="shared" si="10"/>
        <v>0</v>
      </c>
      <c r="AD21" s="20">
        <f t="shared" si="10"/>
        <v>0</v>
      </c>
      <c r="AE21" s="20">
        <f t="shared" si="10"/>
        <v>0</v>
      </c>
      <c r="AF21" s="20"/>
      <c r="AG21" s="20"/>
      <c r="AH21" s="20"/>
    </row>
    <row r="22" spans="1:34" x14ac:dyDescent="0.35">
      <c r="A22" s="14" t="s">
        <v>20</v>
      </c>
      <c r="B22" s="12" t="s">
        <v>8</v>
      </c>
      <c r="C22" s="20">
        <f t="shared" ref="C22:AE22" si="11">IFERROR(C16/C15,0)</f>
        <v>0</v>
      </c>
      <c r="D22" s="20">
        <f t="shared" si="11"/>
        <v>0</v>
      </c>
      <c r="E22" s="20">
        <f t="shared" si="11"/>
        <v>0</v>
      </c>
      <c r="F22" s="20">
        <f t="shared" si="11"/>
        <v>0</v>
      </c>
      <c r="G22" s="20">
        <f t="shared" si="11"/>
        <v>0</v>
      </c>
      <c r="H22" s="20">
        <f t="shared" si="11"/>
        <v>0</v>
      </c>
      <c r="I22" s="20">
        <f t="shared" si="11"/>
        <v>0</v>
      </c>
      <c r="J22" s="20">
        <f t="shared" si="11"/>
        <v>0</v>
      </c>
      <c r="K22" s="20">
        <f t="shared" si="11"/>
        <v>0</v>
      </c>
      <c r="L22" s="20">
        <f t="shared" si="11"/>
        <v>0</v>
      </c>
      <c r="M22" s="20">
        <f t="shared" si="11"/>
        <v>0</v>
      </c>
      <c r="N22" s="20">
        <f t="shared" si="11"/>
        <v>0</v>
      </c>
      <c r="O22" s="20">
        <f t="shared" si="11"/>
        <v>0</v>
      </c>
      <c r="P22" s="20">
        <f t="shared" si="11"/>
        <v>0</v>
      </c>
      <c r="Q22" s="20">
        <f t="shared" si="11"/>
        <v>0</v>
      </c>
      <c r="R22" s="20">
        <f t="shared" si="11"/>
        <v>0</v>
      </c>
      <c r="S22" s="20">
        <f t="shared" si="11"/>
        <v>0</v>
      </c>
      <c r="T22" s="20">
        <f t="shared" si="11"/>
        <v>0</v>
      </c>
      <c r="U22" s="20">
        <f t="shared" si="11"/>
        <v>0</v>
      </c>
      <c r="V22" s="20">
        <f t="shared" si="11"/>
        <v>0</v>
      </c>
      <c r="W22" s="20">
        <f t="shared" si="11"/>
        <v>0</v>
      </c>
      <c r="X22" s="20">
        <f t="shared" si="11"/>
        <v>0</v>
      </c>
      <c r="Y22" s="20">
        <f t="shared" si="11"/>
        <v>0</v>
      </c>
      <c r="Z22" s="20">
        <f t="shared" si="11"/>
        <v>0</v>
      </c>
      <c r="AA22" s="20">
        <f t="shared" si="11"/>
        <v>0</v>
      </c>
      <c r="AB22" s="20">
        <f t="shared" si="11"/>
        <v>0</v>
      </c>
      <c r="AC22" s="20">
        <f t="shared" si="11"/>
        <v>0</v>
      </c>
      <c r="AD22" s="20">
        <f t="shared" si="11"/>
        <v>0</v>
      </c>
      <c r="AE22" s="20">
        <f t="shared" si="11"/>
        <v>0</v>
      </c>
      <c r="AF22" s="20"/>
      <c r="AG22" s="20"/>
      <c r="AH22" s="20"/>
    </row>
    <row r="23" spans="1:34" ht="15.75" customHeight="1" x14ac:dyDescent="0.35">
      <c r="A23" s="14" t="s">
        <v>20</v>
      </c>
      <c r="B23" s="12" t="s">
        <v>9</v>
      </c>
      <c r="C23" s="20">
        <f t="shared" ref="C23:AE23" si="12">IFERROR(C17/C16,0)</f>
        <v>0</v>
      </c>
      <c r="D23" s="20">
        <f t="shared" si="12"/>
        <v>0</v>
      </c>
      <c r="E23" s="20">
        <f t="shared" si="12"/>
        <v>0</v>
      </c>
      <c r="F23" s="20">
        <f t="shared" si="12"/>
        <v>0</v>
      </c>
      <c r="G23" s="20">
        <f t="shared" si="12"/>
        <v>0</v>
      </c>
      <c r="H23" s="20">
        <f t="shared" si="12"/>
        <v>0</v>
      </c>
      <c r="I23" s="20">
        <f t="shared" si="12"/>
        <v>0</v>
      </c>
      <c r="J23" s="20">
        <f t="shared" si="12"/>
        <v>0</v>
      </c>
      <c r="K23" s="20">
        <f t="shared" si="12"/>
        <v>0</v>
      </c>
      <c r="L23" s="20">
        <f t="shared" si="12"/>
        <v>0</v>
      </c>
      <c r="M23" s="20">
        <f t="shared" si="12"/>
        <v>0</v>
      </c>
      <c r="N23" s="20">
        <f t="shared" si="12"/>
        <v>0</v>
      </c>
      <c r="O23" s="20">
        <f t="shared" si="12"/>
        <v>0</v>
      </c>
      <c r="P23" s="20">
        <f t="shared" si="12"/>
        <v>0</v>
      </c>
      <c r="Q23" s="20">
        <f t="shared" si="12"/>
        <v>0</v>
      </c>
      <c r="R23" s="20">
        <f t="shared" si="12"/>
        <v>0</v>
      </c>
      <c r="S23" s="20">
        <f t="shared" si="12"/>
        <v>0</v>
      </c>
      <c r="T23" s="20">
        <f t="shared" si="12"/>
        <v>0</v>
      </c>
      <c r="U23" s="20">
        <f t="shared" si="12"/>
        <v>0</v>
      </c>
      <c r="V23" s="20">
        <f t="shared" si="12"/>
        <v>0</v>
      </c>
      <c r="W23" s="20">
        <f t="shared" si="12"/>
        <v>0</v>
      </c>
      <c r="X23" s="20">
        <f t="shared" si="12"/>
        <v>0</v>
      </c>
      <c r="Y23" s="20">
        <f t="shared" si="12"/>
        <v>0</v>
      </c>
      <c r="Z23" s="20">
        <f t="shared" si="12"/>
        <v>0</v>
      </c>
      <c r="AA23" s="20">
        <f t="shared" si="12"/>
        <v>0</v>
      </c>
      <c r="AB23" s="20">
        <f t="shared" si="12"/>
        <v>0</v>
      </c>
      <c r="AC23" s="20">
        <f t="shared" si="12"/>
        <v>0</v>
      </c>
      <c r="AD23" s="20">
        <f t="shared" si="12"/>
        <v>0</v>
      </c>
      <c r="AE23" s="20">
        <f t="shared" si="12"/>
        <v>0</v>
      </c>
      <c r="AF23" s="20"/>
      <c r="AG23" s="20"/>
      <c r="AH23" s="20"/>
    </row>
    <row r="24" spans="1:34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customHeight="1" x14ac:dyDescent="0.35">
      <c r="A28" s="14" t="s">
        <v>20</v>
      </c>
      <c r="B28" s="1" t="s">
        <v>32</v>
      </c>
      <c r="C28" s="21">
        <f>SUM(D28:AH28)</f>
        <v>0</v>
      </c>
      <c r="D28" s="21">
        <f t="shared" ref="D28:AH28" si="13">IF(D9="",D8,"")</f>
        <v>0</v>
      </c>
      <c r="E28" s="21">
        <f t="shared" si="13"/>
        <v>0</v>
      </c>
      <c r="F28" s="21">
        <f t="shared" si="13"/>
        <v>0</v>
      </c>
      <c r="G28" s="21">
        <f t="shared" si="13"/>
        <v>0</v>
      </c>
      <c r="H28" s="21">
        <f t="shared" si="13"/>
        <v>0</v>
      </c>
      <c r="I28" s="21">
        <f t="shared" si="13"/>
        <v>0</v>
      </c>
      <c r="J28" s="21">
        <f t="shared" si="13"/>
        <v>0</v>
      </c>
      <c r="K28" s="21">
        <f t="shared" si="13"/>
        <v>0</v>
      </c>
      <c r="L28" s="21">
        <f t="shared" si="13"/>
        <v>0</v>
      </c>
      <c r="M28" s="21">
        <f t="shared" si="13"/>
        <v>0</v>
      </c>
      <c r="N28" s="21">
        <f t="shared" si="13"/>
        <v>0</v>
      </c>
      <c r="O28" s="21">
        <f t="shared" si="13"/>
        <v>0</v>
      </c>
      <c r="P28" s="21">
        <f t="shared" si="13"/>
        <v>0</v>
      </c>
      <c r="Q28" s="21">
        <f t="shared" si="13"/>
        <v>0</v>
      </c>
      <c r="R28" s="21">
        <f t="shared" si="13"/>
        <v>0</v>
      </c>
      <c r="S28" s="21">
        <f t="shared" si="13"/>
        <v>0</v>
      </c>
      <c r="T28" s="21">
        <f t="shared" si="13"/>
        <v>0</v>
      </c>
      <c r="U28" s="21">
        <f t="shared" si="13"/>
        <v>0</v>
      </c>
      <c r="V28" s="21">
        <f t="shared" si="13"/>
        <v>0</v>
      </c>
      <c r="W28" s="21">
        <f t="shared" si="13"/>
        <v>0</v>
      </c>
      <c r="X28" s="21">
        <f t="shared" si="13"/>
        <v>0</v>
      </c>
      <c r="Y28" s="21">
        <f t="shared" si="13"/>
        <v>0</v>
      </c>
      <c r="Z28" s="21">
        <f t="shared" si="13"/>
        <v>0</v>
      </c>
      <c r="AA28" s="21">
        <f t="shared" si="13"/>
        <v>0</v>
      </c>
      <c r="AB28" s="21">
        <f t="shared" si="13"/>
        <v>0</v>
      </c>
      <c r="AC28" s="21">
        <f t="shared" si="13"/>
        <v>0</v>
      </c>
      <c r="AD28" s="21">
        <f t="shared" si="13"/>
        <v>0</v>
      </c>
      <c r="AE28" s="21">
        <f t="shared" si="13"/>
        <v>0</v>
      </c>
      <c r="AF28" s="21">
        <f t="shared" si="13"/>
        <v>0</v>
      </c>
      <c r="AG28" s="21">
        <f t="shared" si="13"/>
        <v>0</v>
      </c>
      <c r="AH28" s="21">
        <f t="shared" si="13"/>
        <v>0</v>
      </c>
    </row>
    <row r="29" spans="1:34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</sheetData>
  <mergeCells count="1">
    <mergeCell ref="C6:C7"/>
  </mergeCells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Izumi, Nozomu (SNC)</dc:creator>
  <cp:lastModifiedBy>Izumi, Nozomu (SNC)</cp:lastModifiedBy>
  <dcterms:created xsi:type="dcterms:W3CDTF">2025-07-18T01:47:04Z</dcterms:created>
  <dcterms:modified xsi:type="dcterms:W3CDTF">2026-02-16T09:18:16Z</dcterms:modified>
</cp:coreProperties>
</file>